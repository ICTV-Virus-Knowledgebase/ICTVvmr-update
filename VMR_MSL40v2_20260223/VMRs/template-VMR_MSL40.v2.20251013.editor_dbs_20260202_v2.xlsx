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166925"/>
  <mc:AlternateContent xmlns:mc="http://schemas.openxmlformats.org/markup-compatibility/2006">
    <mc:Choice Requires="x15">
      <x15ac:absPath xmlns:x15ac="http://schemas.microsoft.com/office/spreadsheetml/2010/11/ac" url="/Users/curtish/Documents/ICTV/ICTVvmr-update/VMR_MSL40v2_20260122/VMRs/"/>
    </mc:Choice>
  </mc:AlternateContent>
  <xr:revisionPtr revIDLastSave="0" documentId="13_ncr:1_{9A1CC7D2-E20C-4F46-B0A9-EEB7EA529D35}" xr6:coauthVersionLast="47" xr6:coauthVersionMax="47" xr10:uidLastSave="{00000000-0000-0000-0000-000000000000}"/>
  <bookViews>
    <workbookView xWindow="11720" yWindow="-25760" windowWidth="28800" windowHeight="25760" activeTab="6" xr2:uid="{00000000-000D-0000-FFFF-FFFF00000000}"/>
  </bookViews>
  <sheets>
    <sheet name="Version" sheetId="13" r:id="rId1"/>
    <sheet name="VMR MSL40" sheetId="1" r:id="rId2"/>
    <sheet name="Column definitions" sheetId="2" r:id="rId3"/>
    <sheet name="Column Values" sheetId="10" r:id="rId4"/>
    <sheet name="README.editor" sheetId="15" r:id="rId5"/>
    <sheet name="CHANGELOG.editor" sheetId="9" r:id="rId6"/>
    <sheet name="Original" sheetId="8" r:id="rId7"/>
    <sheet name="Original Column Values" sheetId="14" r:id="rId8"/>
  </sheets>
  <definedNames>
    <definedName name="_xlnm._FilterDatabase" localSheetId="6" hidden="1">Original!$AH$1:$AH$2</definedName>
    <definedName name="_xlnm._FilterDatabase" localSheetId="1" hidden="1">'VMR MSL40'!$Y$1:$Y$142</definedName>
    <definedName name="LOCAL_MYSQL_DATE_FORMAT"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A1" i="8" l="1"/>
  <c r="A2" i="8"/>
  <c r="S2" i="8"/>
  <c r="AB2" i="8"/>
  <c r="AG2" i="8"/>
  <c r="A2" i="1"/>
  <c r="S2" i="1"/>
  <c r="AB2" i="1"/>
  <c r="AG2" i="1"/>
  <c r="E20" i="13"/>
  <c r="E14" i="13"/>
  <c r="AR2" i="8" l="1"/>
  <c r="BI2" i="8"/>
  <c r="BH2" i="8"/>
  <c r="BG2" i="8"/>
  <c r="BF2" i="8"/>
  <c r="BE2" i="8"/>
  <c r="BD2" i="8"/>
  <c r="BC2" i="8"/>
  <c r="BB2" i="8"/>
  <c r="BK2" i="8"/>
  <c r="AO2" i="8"/>
  <c r="AM2" i="8"/>
  <c r="AL2" i="8"/>
  <c r="AX2" i="8"/>
  <c r="AT2" i="8"/>
  <c r="AS2" i="8"/>
  <c r="AW2" i="8"/>
  <c r="AV2" i="8"/>
  <c r="AU2" i="8"/>
  <c r="AK2" i="8"/>
  <c r="AQ2" i="8"/>
  <c r="AZ2" i="8"/>
  <c r="AP2" i="8"/>
  <c r="AY2" i="8"/>
  <c r="AJ2" i="8"/>
  <c r="E12" i="13" l="1"/>
  <c r="E7" i="13"/>
  <c r="BK1" i="8" l="1"/>
  <c r="BJ1" i="8"/>
  <c r="AK1" i="8" l="1"/>
  <c r="AL1" i="8"/>
  <c r="AM1" i="8"/>
  <c r="AN1" i="8"/>
  <c r="AN2" i="8" s="1"/>
  <c r="AI2" i="8" s="1"/>
  <c r="AO1" i="8"/>
  <c r="AP1" i="8"/>
  <c r="AQ1" i="8"/>
  <c r="AR1" i="8"/>
  <c r="AS1" i="8"/>
  <c r="AT1" i="8"/>
  <c r="AU1" i="8"/>
  <c r="AV1" i="8"/>
  <c r="AW1" i="8"/>
  <c r="AX1" i="8"/>
  <c r="AY1" i="8"/>
  <c r="AZ1" i="8"/>
  <c r="BB1" i="8"/>
  <c r="BC1" i="8"/>
  <c r="BD1" i="8"/>
  <c r="BE1" i="8"/>
  <c r="BF1" i="8"/>
  <c r="BG1" i="8"/>
  <c r="BH1" i="8"/>
  <c r="BI1" i="8"/>
  <c r="BL1" i="8"/>
  <c r="BM1" i="8"/>
  <c r="BN1" i="8"/>
  <c r="BO1" i="8"/>
  <c r="AJ1" i="8"/>
  <c r="AI2" i="1" l="1"/>
  <c r="AH2" i="8"/>
  <c r="AH2" i="1" s="1"/>
  <c r="AH1" i="1" l="1"/>
</calcChain>
</file>

<file path=xl/sharedStrings.xml><?xml version="1.0" encoding="utf-8"?>
<sst xmlns="http://schemas.openxmlformats.org/spreadsheetml/2006/main" count="373" uniqueCount="212">
  <si>
    <t>Isolate Sort</t>
  </si>
  <si>
    <t>Realm</t>
  </si>
  <si>
    <t>Subrealm</t>
  </si>
  <si>
    <t>Kingdom</t>
  </si>
  <si>
    <t>Subkingdom</t>
  </si>
  <si>
    <t>Phylum</t>
  </si>
  <si>
    <t>Subphylum</t>
  </si>
  <si>
    <t>Class</t>
  </si>
  <si>
    <t>Subclass</t>
  </si>
  <si>
    <t>Order</t>
  </si>
  <si>
    <t>Suborder</t>
  </si>
  <si>
    <t>Family</t>
  </si>
  <si>
    <t>Subfamily</t>
  </si>
  <si>
    <t>Genus</t>
  </si>
  <si>
    <t>Subgenus</t>
  </si>
  <si>
    <t>Species</t>
  </si>
  <si>
    <t>Exemplar or additional isolate</t>
  </si>
  <si>
    <t>Virus name(s)</t>
  </si>
  <si>
    <t>Virus name abbreviation(s)</t>
  </si>
  <si>
    <t>Virus isolate designation</t>
  </si>
  <si>
    <t>Virus GENBANK accession</t>
  </si>
  <si>
    <t>Genome coverage</t>
  </si>
  <si>
    <t>Host source</t>
  </si>
  <si>
    <t>Adnaviria</t>
  </si>
  <si>
    <t>Zilligvirae</t>
  </si>
  <si>
    <t>Taleaviricota</t>
  </si>
  <si>
    <t>Tokiviricetes</t>
  </si>
  <si>
    <t>Ligamenvirales</t>
  </si>
  <si>
    <t>E</t>
  </si>
  <si>
    <t>Coding-complete genome</t>
  </si>
  <si>
    <t>dsDNA</t>
  </si>
  <si>
    <t>archaea</t>
  </si>
  <si>
    <t>Complete genome</t>
  </si>
  <si>
    <t>Partial genome</t>
  </si>
  <si>
    <t>vertebrates</t>
  </si>
  <si>
    <t>bacteria</t>
  </si>
  <si>
    <t>No entry in Genbank</t>
  </si>
  <si>
    <t>A</t>
  </si>
  <si>
    <t>ssDNA(+)</t>
  </si>
  <si>
    <t>ssDNA</t>
  </si>
  <si>
    <t>invertebrates</t>
  </si>
  <si>
    <t>ssDNA(+/-)</t>
  </si>
  <si>
    <t>invertebrates, vertebrates</t>
  </si>
  <si>
    <t>ssDNA(-)</t>
  </si>
  <si>
    <t>marine (S)</t>
  </si>
  <si>
    <t>plants</t>
  </si>
  <si>
    <t>protists (S)</t>
  </si>
  <si>
    <t>AA</t>
  </si>
  <si>
    <t>invertebrates, plants</t>
  </si>
  <si>
    <t>fungi</t>
  </si>
  <si>
    <t>sewage (S)</t>
  </si>
  <si>
    <t>ssRNA(+)</t>
  </si>
  <si>
    <t>C</t>
  </si>
  <si>
    <t>dsRNA</t>
  </si>
  <si>
    <t>plants (S)</t>
  </si>
  <si>
    <t>BbCV1</t>
  </si>
  <si>
    <t>invertebrates (S)</t>
  </si>
  <si>
    <t>protists</t>
  </si>
  <si>
    <t>S</t>
  </si>
  <si>
    <t>V</t>
  </si>
  <si>
    <t>B</t>
  </si>
  <si>
    <t>ssRNA</t>
  </si>
  <si>
    <t>ssRNA(+/-)</t>
  </si>
  <si>
    <t>ssRNA(-)</t>
  </si>
  <si>
    <t>phytobiome (S)</t>
  </si>
  <si>
    <t>soil (S)</t>
  </si>
  <si>
    <t>freshwater (S)</t>
  </si>
  <si>
    <t>W</t>
  </si>
  <si>
    <t>T</t>
  </si>
  <si>
    <t>Y</t>
  </si>
  <si>
    <t>dsDNA-RT</t>
  </si>
  <si>
    <t>ssRNA-RT</t>
  </si>
  <si>
    <t>See corresponding suffixes for the different ranks of satellite nucleic acids, viroids and viriforms in the ICTV Code (https://ictv.global/about/code) sections V, and VI</t>
  </si>
  <si>
    <t>Host/Source</t>
  </si>
  <si>
    <t>Z</t>
  </si>
  <si>
    <t>X</t>
  </si>
  <si>
    <t>U</t>
  </si>
  <si>
    <t>Species Sort</t>
  </si>
  <si>
    <t>Definition</t>
  </si>
  <si>
    <t>Heading</t>
  </si>
  <si>
    <t>Column</t>
  </si>
  <si>
    <t>air (S)</t>
  </si>
  <si>
    <t>vertebrates (S)</t>
  </si>
  <si>
    <t>unknown (S)</t>
  </si>
  <si>
    <t>bacteria, invertebrates (S)</t>
  </si>
  <si>
    <t>bacteria, vertebrates (S)</t>
  </si>
  <si>
    <t>created</t>
  </si>
  <si>
    <t>Isolate ID</t>
  </si>
  <si>
    <t>when</t>
  </si>
  <si>
    <t>who</t>
  </si>
  <si>
    <t>what</t>
  </si>
  <si>
    <t>CurtisH@uab.edu</t>
  </si>
  <si>
    <t>QC_status</t>
  </si>
  <si>
    <t>QC_taxon_inher_molecule</t>
  </si>
  <si>
    <t>QC_taxon_change</t>
  </si>
  <si>
    <t>QC_taxon_proposal</t>
  </si>
  <si>
    <t>Exported from PROD after fixes to accession ordering</t>
  </si>
  <si>
    <t>#𝚫</t>
  </si>
  <si>
    <t>𝚫s</t>
  </si>
  <si>
    <t>Add names of edied columns(see 𝚫s in column AI)</t>
  </si>
  <si>
    <t>Add coloring and counts of edited columns (see #𝚫 in column AH)</t>
  </si>
  <si>
    <t>Compare values against shee "Original" to detect edits</t>
  </si>
  <si>
    <t>Add Data Validation against allowed value lists in "Column Valued" sheet</t>
  </si>
  <si>
    <t>Add comparison of accession numbers to last VMR of MSL38.</t>
  </si>
  <si>
    <t xml:space="preserve">Add "Isolate ID" column; should be left blnak for new isolates. </t>
  </si>
  <si>
    <t xml:space="preserve">Added change highlighitng tochanges of only spaces or capitalization </t>
  </si>
  <si>
    <t>Added change highlighting for new isolates (isolate_id="", species&lt;&gt;"")</t>
  </si>
  <si>
    <t>Paste-Values to bring data from "VMR_MSL39_v4_for_DS_ds.xlsx" into augemented template.</t>
  </si>
  <si>
    <t>Removed "algae" and "oomycetes" from Column Values:Host Source</t>
  </si>
  <si>
    <t>Accessions Link</t>
  </si>
  <si>
    <t>Editor Notes</t>
  </si>
  <si>
    <t>update SQL generation columns on "Original", special code for species_name</t>
  </si>
  <si>
    <t>Add insert_seq column for new isolates in 'VMNR MSL39' sheet.</t>
  </si>
  <si>
    <t>insert sql not perfect: need cast(var as varbinary(max)) to get case senstiviity: test case is 1025717 isolate_names
currnetly: original is original, and VMR is from db; 
need to re-paste DS VMR and fix SQL, then update db, re-export, double check</t>
  </si>
  <si>
    <t>format "species_name" and "Accession Link" as hotlinks (blue, under)</t>
  </si>
  <si>
    <t>Update 'VMR MSL39' and 'Original' to match PROD database and all edits from 'VMR_MSL39_v4_for_DS_dbs.xlsx', including 2 new isolates</t>
  </si>
  <si>
    <t>ssRNA(-); ssRNA(+/-)</t>
  </si>
  <si>
    <t>Update PROD db with VMR_MSL39_v4_for_DS_dbs_dbs_rch.xlsx, including new isolates and a new molecule type 'ssRNA(-); ssRNA(+/-)'; export PROD.[vmr_export] back into this file [VMR MSL39, Original]</t>
  </si>
  <si>
    <t xml:space="preserve">Update PROD with additional RefSeqs listed in Donald Smith's 
    Additional_ref_seqs_5.9.24.tsv
and re-export VMR to Excel. RefSeq accessions were integrated by adding them to 
    genbank_refseq_map_wide_fixed3.txt
then using 
   VMR_update_refseq.py
to build a new VMR with correctly formatted and ordered RefSeq seg:accession lists. </t>
  </si>
  <si>
    <t xml:space="preserve">Updates from DBS email </t>
  </si>
  <si>
    <t>Bulk add RefSeq accessions vis VMR_update_refseq.py from same email</t>
  </si>
  <si>
    <t xml:space="preserve">Updated PROD db server, exported from [vmr_export] back to Excel.
Reset "Original" worksheet with new version. </t>
  </si>
  <si>
    <t>Version:</t>
    <phoneticPr fontId="4" type="noConversion"/>
  </si>
  <si>
    <t>Date</t>
    <phoneticPr fontId="4" type="noConversion"/>
  </si>
  <si>
    <t>Change:</t>
    <phoneticPr fontId="4" type="noConversion"/>
  </si>
  <si>
    <t>Renamed README -&gt; README.editor and add "Version" worksheet for Elliot to fill out.</t>
  </si>
  <si>
    <t>Donald Smith</t>
  </si>
  <si>
    <t>Corrections to isolate details, several "protist" to "unknown (S)" as requested by Botourmiaviridae SG</t>
  </si>
  <si>
    <t>Smacoviridae host changed to "unknown (S)"</t>
  </si>
  <si>
    <t xml:space="preserve">ICTV internal sort ID of each virus species. </t>
  </si>
  <si>
    <t>ICTV internal sort ID of virus isolates within each species.</t>
  </si>
  <si>
    <t>D - R</t>
  </si>
  <si>
    <t>Realm, Subrealm, Kingdom, Subkingdom, Phylum, Subphylum, Class, Subclass, Order, Suborder, Family, Subfamily, Genus, Subgenus, Species</t>
  </si>
  <si>
    <t>Taxonomic ranks into which virus species are classified.</t>
  </si>
  <si>
    <t>Exemplar (E) or additional (A) isolate chosen by ICTV Study Groups as representative, well-characterised isolates of each species.</t>
  </si>
  <si>
    <t>Commonly used virus name (or names separated by a semi-colon).</t>
  </si>
  <si>
    <t>Commonly used virus name abbreviation (or abbreviations separated by a semi-colon).</t>
  </si>
  <si>
    <t>The designation of that particular virus isolate, variant or strain.</t>
  </si>
  <si>
    <t xml:space="preserve">Removed REFSEQ columns; updated Original with 2024-11-06 edits from Donald Smith, including removal of 3 [A] isolates. </t>
  </si>
  <si>
    <t>Genome</t>
  </si>
  <si>
    <t>Improved NCBI Accession links to strip out positions "(####..#####)", and not to put a link if there are no accessions at all.</t>
  </si>
  <si>
    <t>Editor:</t>
  </si>
  <si>
    <t>donald.smith.ictv@gmail.com</t>
  </si>
  <si>
    <t>Send corrections to:</t>
  </si>
  <si>
    <t>The GenBank (nucleotide) accession number (or numbers separted by a semicolon) for that virus isolate. In some cases a range within the accession sequence is specified by a "(startPos.endPos)" suffix.</t>
  </si>
  <si>
    <t>ICTV 2024 Virus Metadata Resource (VMR)</t>
  </si>
  <si>
    <t>MSL40.v1</t>
  </si>
  <si>
    <t>New MSL, #40 including all taxa updates since the 2023 release</t>
  </si>
  <si>
    <t xml:space="preserve">Updated all taxon names to match changes in MSL40. </t>
  </si>
  <si>
    <t xml:space="preserve">Added new isolates included in proposals for MSL40. </t>
  </si>
  <si>
    <t>Chiyouviridae</t>
  </si>
  <si>
    <t>Wargodvirus</t>
  </si>
  <si>
    <t>PP467602</t>
  </si>
  <si>
    <t>Curtish@uab.edu</t>
  </si>
  <si>
    <t>ICTV_ID</t>
  </si>
  <si>
    <t xml:space="preserve">ICTV unique isolate ID for each line of the VMR. This ID will only change if accessions are added or removed from the set of accessions that define the isolate's genome. </t>
  </si>
  <si>
    <t>AB</t>
  </si>
  <si>
    <t>Wargodvirus xiongnu</t>
  </si>
  <si>
    <t>Link to the GenBank record(s) in columns X.</t>
  </si>
  <si>
    <t>ICTV unique taxon ID for the species. This ID will only change if a species is split into multiple species, or if several species are merged into one. It is not changed by renames or changes to the higher rank taxonomy in which the species is classified.</t>
  </si>
  <si>
    <t>Original release</t>
  </si>
  <si>
    <t>Remove isolates in species that were abolished for MSL40.</t>
  </si>
  <si>
    <t>Correct initial round of errors caught by Donald Smith's QC scripts</t>
  </si>
  <si>
    <t>Update for MSL40v1</t>
  </si>
  <si>
    <t>Added isolates missing because proposals didn't have genome_coverage filled in</t>
  </si>
  <si>
    <r>
      <t xml:space="preserve">Added segment names for </t>
    </r>
    <r>
      <rPr>
        <i/>
        <sz val="12"/>
        <color theme="1"/>
        <rFont val="Calibri"/>
        <family val="2"/>
        <scheme val="minor"/>
      </rPr>
      <t>Begomovirus sidaflavusfoli</t>
    </r>
    <r>
      <rPr>
        <sz val="12"/>
        <color theme="1"/>
        <rFont val="Calibri"/>
        <family val="2"/>
        <scheme val="minor"/>
      </rPr>
      <t xml:space="preserve">, which is a duplicate of the existing species/isolate, </t>
    </r>
    <r>
      <rPr>
        <i/>
        <sz val="12"/>
        <color theme="1"/>
        <rFont val="Calibri"/>
        <family val="2"/>
        <scheme val="minor"/>
      </rPr>
      <t>Begomovirus sidaflavusfolii</t>
    </r>
    <r>
      <rPr>
        <sz val="12"/>
        <color theme="1"/>
        <rFont val="Calibri"/>
        <family val="2"/>
        <scheme val="minor"/>
      </rPr>
      <t>, but that we caught only after ratification: DNA-A: MN013784; DNA-B: MN013785</t>
    </r>
  </si>
  <si>
    <t>fungi (S)</t>
  </si>
  <si>
    <t>Requested updates from SCC and SG post ratification, Cardioreovirus, Dahlia mosaic virus, replaced unknown hosts for Dormycovirus, Phormycovirus</t>
  </si>
  <si>
    <t>Adenoviridae, added back AC_seq for M73260</t>
  </si>
  <si>
    <t>Delete row for VMR1012218 duplicate entry</t>
  </si>
  <si>
    <t>Potexvirus ecsadenii - took one of two exemplar viruses as additional virus</t>
  </si>
  <si>
    <t>Pimascovirales - edits as in TP supplementary sheet and emails to J-M Claverie</t>
  </si>
  <si>
    <t>Bathyarchaeia bifangarchaeales chiyouvirus 1</t>
  </si>
  <si>
    <t>TP corrections from Lusia for plant viruses  email 15th April</t>
  </si>
  <si>
    <t>Format/length of virus names, abbreviations, accessions corrected as identified by script</t>
  </si>
  <si>
    <t>TP corections from J-M Claverie email 10th April</t>
  </si>
  <si>
    <t>Added two Secoviridae isolate accessions</t>
  </si>
  <si>
    <t>Changed E isolate for Cypovirus antheraea</t>
  </si>
  <si>
    <t>Added accession labels for Secoviridae and Begomovirus, minor virus name edits KP638402 and Orthotospovirus hippeflavi</t>
  </si>
  <si>
    <t>Not Compliant</t>
  </si>
  <si>
    <t>Removed original accessions from Adenovirus AC_ entries</t>
  </si>
  <si>
    <t>Minor edits to Cystoviridae, Rhabdoviridae, Tospoviridae, Phenuiviridae</t>
  </si>
  <si>
    <t>Anelloviridae - made virus names unique by adding isolate name; some initial capital letters removed from virus names</t>
  </si>
  <si>
    <t>kangaroo rat adenovirus (BK067721): update coverage to complete; add editor's notes for 2 species that were removed in MSL40v2, so whose updates are irrelevent: Trabzonvirus APT65 &amp; Begomovirus sidaflavusfolii</t>
  </si>
  <si>
    <t>MSL40.v2</t>
  </si>
  <si>
    <t>Update</t>
  </si>
  <si>
    <t>Updated all taxon names to match changes in MSL40.v2</t>
  </si>
  <si>
    <t>Remove isolates in species that were abolished for MSL40.v2</t>
  </si>
  <si>
    <t>VMR updates:</t>
  </si>
  <si>
    <t>Minor MSL update, #40.v2:</t>
  </si>
  <si>
    <t xml:space="preserve">Loaded changes into `ictv_taxonomy`.`species_isolates` and re-exported to create new MSL.xlsx. This incorporates changes made in MSL40.v2. Reset "Original" sheet. Set columns "Virus Names":"Abbr" to be TEXT, instead of GENERAL formatting. </t>
  </si>
  <si>
    <t>Various minor edits as detailed on README page, including making unique virus names for viruses in Anelloviridae, accession labels for Secoviridae and Begomovirus, reduced entries for Adenoviridae to AC_ accession only where available, Botourmiaviridae Protist host changed to unknown(S)</t>
  </si>
  <si>
    <t xml:space="preserve">Update data to correct `Species Sort` and `Isolate Sort` ordering. Fix change highlighting on "Column Values" worksheet so evertyhing doesn't turn red when you delete the "Original Column Values" worksheet; update formulas for calcualting deltas on "VMR MSL40" and "Original" so that field name AND original field value are given. </t>
  </si>
  <si>
    <t>Virus names altered so that are now unique for exemplars. Abbreviations that do not match virus names corrected. Some typos corrected.</t>
  </si>
  <si>
    <t>Added "partial:" as prefix to entries where multiple accessions provided for a non-segmented genome</t>
  </si>
  <si>
    <t>Tobaniviridae - virus names, abbreviations and isolate designations update as per SG requests and format requirements.</t>
  </si>
  <si>
    <t>Updated accessionf for Yaounde virus to complete genome</t>
  </si>
  <si>
    <t>"Exemplar" Isoaltes:  record only partial if no GenBank complete genome exists: partial entries should be labeled as "partial:ACCESSION" in GenBank_accessions field</t>
  </si>
  <si>
    <t>"Additional" Isolates: no partial genome allowed.</t>
  </si>
  <si>
    <t>Accession Rules:</t>
  </si>
  <si>
    <t xml:space="preserve">1. change </t>
  </si>
  <si>
    <t>Abolishing an Isolate:</t>
  </si>
  <si>
    <t>4. when you fill in M:Species, the whole line should turn greene</t>
  </si>
  <si>
    <t>3. fill in lineage, most importantly M:Species</t>
  </si>
  <si>
    <t>2. leave first 2 columns blank: A:Isolate ID, B:Species_Sort</t>
  </si>
  <si>
    <t xml:space="preserve">1. insert a blank row </t>
  </si>
  <si>
    <t>Inserting a new Isolate:</t>
  </si>
  <si>
    <t>Guidance and Conventions for Editors</t>
  </si>
  <si>
    <t>Genome coverage of the indicated virus. Possible values are:
- Complete genome
- Coding-complete genome
- Partial genome (non-compliant)
- No entry in Genbank</t>
  </si>
  <si>
    <t>Indicates the known categories of hosts or hosts infected by the virus. The suffix [S] indicates a source from which the virus was isolated. Possible values are:
- air (S)
- algae
- archaea
- bacteria
- bacteria, invertebrates (S)
- bacteria, vertebrates (S)
- freshwater (S)
- fungi
- fungi (S)
- invertebrates
- invertebrates (S)
- invertebrates, plants
- invertebrates, vertebrates
- marine (S)
- oomycetes
- other (specify)
- phytobiome (S)
- plants
- plants (S)
- plants, fungi
- protists
- protists (S)
- sewage (S)
- soil (S)
- unknown (S)
- vertebrates
- vertebrates (S)</t>
  </si>
  <si>
    <t>The nature of the virus genome packaged into virions. Possible values are:
- dsDNA
- dsDNA-RT
- dsDNA; ssDNA
- dsRNA
- ssDNA
- ssDNA(-)
- ssDNA(+)
- ssDNA(+/-)
- ssRNA
- ssRNA-RT
- ssRNA(-)
- ssRNA(+)
- ssRNA(+/-)
- ssRNA(-); ssRNA(+/-)</t>
  </si>
  <si>
    <t xml:space="preserve">Updated "Column defintions" to add additional Host/Source and Genome ('dsDNA; ssDNA') values from the production database.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</si>
</sst>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409]mmmm\ d\,\ yyyy;@"/>
  </numFmts>
  <fonts count="3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sz val="12"/>
      <color theme="1"/>
      <name val="Calibri"/>
      <family val="2"/>
      <scheme val="minor"/>
    </font>
    <font>
      <u/>
      <sz val="12"/>
      <color theme="10"/>
      <name val="Calibri"/>
      <family val="2"/>
      <scheme val="minor"/>
    </font>
    <font>
      <sz val="10"/>
      <name val="Arial"/>
      <family val="2"/>
    </font>
    <font>
      <sz val="14"/>
      <name val="Arial"/>
      <family val="2"/>
    </font>
    <font>
      <sz val="12"/>
      <name val="Arial"/>
      <family val="2"/>
    </font>
    <font>
      <u/>
      <sz val="10"/>
      <color theme="10"/>
      <name val="Arial"/>
      <family val="2"/>
    </font>
    <font>
      <b/>
      <sz val="12"/>
      <color theme="1"/>
      <name val="Verdana"/>
      <family val="2"/>
    </font>
    <font>
      <sz val="12"/>
      <color theme="1"/>
      <name val="Verdana"/>
      <family val="2"/>
    </font>
    <font>
      <sz val="12"/>
      <name val="Verdana"/>
      <family val="2"/>
    </font>
    <font>
      <b/>
      <sz val="12"/>
      <name val="Verdana"/>
      <family val="2"/>
    </font>
    <font>
      <u/>
      <sz val="12"/>
      <color theme="10"/>
      <name val="Verdana"/>
      <family val="2"/>
    </font>
    <font>
      <sz val="12"/>
      <color rgb="FF000000"/>
      <name val="Calibri"/>
      <family val="2"/>
      <scheme val="minor"/>
    </font>
    <font>
      <sz val="18"/>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0" tint="-0.14999847407452621"/>
        <bgColor indexed="64"/>
      </patternFill>
    </fill>
  </fills>
  <borders count="3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47">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0" borderId="0"/>
    <xf numFmtId="0" fontId="19" fillId="0" borderId="0" applyNumberFormat="0" applyFill="0" applyBorder="0" applyAlignment="0" applyProtection="0"/>
    <xf numFmtId="0" fontId="20" fillId="0" borderId="0"/>
    <xf numFmtId="0" fontId="23" fillId="0" borderId="0" applyNumberFormat="0" applyFill="0" applyBorder="0" applyAlignment="0" applyProtection="0"/>
  </cellStyleXfs>
  <cellXfs count="74">
    <xf numFmtId="0" fontId="0" fillId="0" borderId="0" xfId="0"/>
    <xf numFmtId="0" fontId="0" fillId="0" borderId="0" xfId="0" applyAlignment="1">
      <alignment vertical="top"/>
    </xf>
    <xf numFmtId="0" fontId="1" fillId="0" borderId="0" xfId="0" applyFont="1" applyAlignment="1">
      <alignment vertical="top"/>
    </xf>
    <xf numFmtId="49" fontId="16" fillId="0" borderId="0" xfId="42" applyNumberFormat="1" applyFont="1" applyAlignment="1">
      <alignment vertical="top" wrapText="1"/>
    </xf>
    <xf numFmtId="49" fontId="1" fillId="0" borderId="10" xfId="42" applyNumberFormat="1" applyBorder="1" applyAlignment="1">
      <alignment vertical="top" wrapText="1"/>
    </xf>
    <xf numFmtId="49" fontId="1" fillId="0" borderId="11" xfId="42" applyNumberFormat="1" applyBorder="1" applyAlignment="1">
      <alignment vertical="top" wrapText="1"/>
    </xf>
    <xf numFmtId="49" fontId="16" fillId="0" borderId="12" xfId="42" applyNumberFormat="1" applyFont="1" applyBorder="1" applyAlignment="1">
      <alignment vertical="top" wrapText="1"/>
    </xf>
    <xf numFmtId="49" fontId="1" fillId="0" borderId="14" xfId="42" applyNumberFormat="1" applyBorder="1" applyAlignment="1">
      <alignment vertical="top" wrapText="1"/>
    </xf>
    <xf numFmtId="49" fontId="16" fillId="0" borderId="15" xfId="42" applyNumberFormat="1" applyFont="1" applyBorder="1" applyAlignment="1">
      <alignment vertical="top" wrapText="1"/>
    </xf>
    <xf numFmtId="49" fontId="16" fillId="0" borderId="16" xfId="42" applyNumberFormat="1" applyFont="1" applyBorder="1" applyAlignment="1">
      <alignment vertical="top" wrapText="1"/>
    </xf>
    <xf numFmtId="49" fontId="0" fillId="0" borderId="14" xfId="43" applyNumberFormat="1" applyFont="1" applyBorder="1" applyAlignment="1">
      <alignment vertical="top" wrapText="1"/>
    </xf>
    <xf numFmtId="49" fontId="16" fillId="33" borderId="17" xfId="42" applyNumberFormat="1" applyFont="1" applyFill="1" applyBorder="1" applyAlignment="1">
      <alignment vertical="top" wrapText="1"/>
    </xf>
    <xf numFmtId="49" fontId="16" fillId="33" borderId="18" xfId="42" applyNumberFormat="1" applyFont="1" applyFill="1" applyBorder="1" applyAlignment="1">
      <alignment vertical="top" wrapText="1"/>
    </xf>
    <xf numFmtId="49" fontId="16" fillId="33" borderId="19" xfId="42" applyNumberFormat="1" applyFont="1" applyFill="1" applyBorder="1" applyAlignment="1">
      <alignment vertical="top" wrapText="1"/>
    </xf>
    <xf numFmtId="0" fontId="16" fillId="34" borderId="15" xfId="0" applyFont="1" applyFill="1" applyBorder="1" applyAlignment="1">
      <alignment horizontal="center" vertical="center" wrapText="1"/>
    </xf>
    <xf numFmtId="0" fontId="16" fillId="34" borderId="20" xfId="0" applyFont="1" applyFill="1" applyBorder="1" applyAlignment="1">
      <alignment horizontal="center" vertical="center" wrapText="1"/>
    </xf>
    <xf numFmtId="0" fontId="16" fillId="34" borderId="21" xfId="0" applyFont="1" applyFill="1" applyBorder="1" applyAlignment="1">
      <alignment horizontal="center" vertical="center" wrapText="1"/>
    </xf>
    <xf numFmtId="0" fontId="18" fillId="0" borderId="0" xfId="0" applyFont="1" applyAlignment="1">
      <alignment horizontal="left"/>
    </xf>
    <xf numFmtId="0" fontId="0" fillId="0" borderId="0" xfId="0" applyAlignment="1">
      <alignment horizontal="left"/>
    </xf>
    <xf numFmtId="0" fontId="16" fillId="8" borderId="8" xfId="15" applyFont="1" applyAlignment="1">
      <alignment horizontal="center" vertical="center" wrapText="1"/>
    </xf>
    <xf numFmtId="0" fontId="16" fillId="34" borderId="0" xfId="0" applyFont="1" applyFill="1" applyAlignment="1">
      <alignment horizontal="center" vertical="center" wrapText="1"/>
    </xf>
    <xf numFmtId="0" fontId="11" fillId="6" borderId="4" xfId="11"/>
    <xf numFmtId="0" fontId="0" fillId="0" borderId="0" xfId="0" applyAlignment="1">
      <alignment horizontal="center"/>
    </xf>
    <xf numFmtId="0" fontId="10" fillId="6" borderId="5" xfId="10" applyAlignment="1">
      <alignment horizontal="center" vertical="center" wrapText="1"/>
    </xf>
    <xf numFmtId="0" fontId="1" fillId="19" borderId="0" xfId="28"/>
    <xf numFmtId="164" fontId="10" fillId="6" borderId="5" xfId="10" applyNumberFormat="1" applyAlignment="1">
      <alignment vertical="top"/>
    </xf>
    <xf numFmtId="0" fontId="10" fillId="6" borderId="5" xfId="10" applyAlignment="1">
      <alignment vertical="top"/>
    </xf>
    <xf numFmtId="0" fontId="10" fillId="6" borderId="5" xfId="10" applyAlignment="1">
      <alignment vertical="top" wrapText="1"/>
    </xf>
    <xf numFmtId="164" fontId="0" fillId="0" borderId="0" xfId="0" applyNumberFormat="1" applyAlignment="1">
      <alignment vertical="top"/>
    </xf>
    <xf numFmtId="0" fontId="19" fillId="0" borderId="0" xfId="44" applyAlignment="1">
      <alignment vertical="top"/>
    </xf>
    <xf numFmtId="0" fontId="0" fillId="0" borderId="0" xfId="0" applyAlignment="1">
      <alignment vertical="top" wrapText="1"/>
    </xf>
    <xf numFmtId="0" fontId="1" fillId="19" borderId="4" xfId="28" applyBorder="1"/>
    <xf numFmtId="0" fontId="19" fillId="0" borderId="0" xfId="44" applyAlignment="1">
      <alignment horizontal="left"/>
    </xf>
    <xf numFmtId="0" fontId="19" fillId="0" borderId="0" xfId="44"/>
    <xf numFmtId="0" fontId="16" fillId="19" borderId="5" xfId="28" applyFont="1" applyBorder="1" applyAlignment="1">
      <alignment horizontal="center" vertical="center" wrapText="1"/>
    </xf>
    <xf numFmtId="0" fontId="10" fillId="6" borderId="5" xfId="10" applyAlignment="1">
      <alignment horizontal="center" vertical="center"/>
    </xf>
    <xf numFmtId="0" fontId="20" fillId="0" borderId="0" xfId="45"/>
    <xf numFmtId="0" fontId="20" fillId="0" borderId="0" xfId="45" applyAlignment="1">
      <alignment horizontal="left" vertical="center"/>
    </xf>
    <xf numFmtId="0" fontId="21" fillId="0" borderId="0" xfId="45" applyFont="1"/>
    <xf numFmtId="0" fontId="20" fillId="0" borderId="0" xfId="45" applyAlignment="1">
      <alignment horizontal="left"/>
    </xf>
    <xf numFmtId="0" fontId="22" fillId="0" borderId="0" xfId="45" applyFont="1"/>
    <xf numFmtId="49" fontId="16" fillId="0" borderId="28" xfId="42" applyNumberFormat="1" applyFont="1" applyBorder="1" applyAlignment="1">
      <alignment vertical="top" wrapText="1"/>
    </xf>
    <xf numFmtId="49" fontId="16" fillId="0" borderId="25" xfId="42" applyNumberFormat="1" applyFont="1" applyBorder="1" applyAlignment="1">
      <alignment vertical="top" wrapText="1"/>
    </xf>
    <xf numFmtId="49" fontId="1" fillId="0" borderId="29" xfId="42" applyNumberFormat="1" applyBorder="1" applyAlignment="1">
      <alignment vertical="top" wrapText="1"/>
    </xf>
    <xf numFmtId="49" fontId="19" fillId="0" borderId="0" xfId="44" applyNumberFormat="1" applyAlignment="1">
      <alignment vertical="top" wrapText="1"/>
    </xf>
    <xf numFmtId="0" fontId="24" fillId="34" borderId="22" xfId="45" applyFont="1" applyFill="1" applyBorder="1" applyAlignment="1">
      <alignment horizontal="left" vertical="center"/>
    </xf>
    <xf numFmtId="0" fontId="25" fillId="34" borderId="23" xfId="45" applyFont="1" applyFill="1" applyBorder="1" applyAlignment="1">
      <alignment horizontal="left" vertical="center"/>
    </xf>
    <xf numFmtId="0" fontId="25" fillId="34" borderId="24" xfId="45" applyFont="1" applyFill="1" applyBorder="1" applyAlignment="1">
      <alignment horizontal="left" vertical="center"/>
    </xf>
    <xf numFmtId="0" fontId="26" fillId="0" borderId="0" xfId="45" applyFont="1"/>
    <xf numFmtId="0" fontId="27" fillId="34" borderId="30" xfId="45" applyFont="1" applyFill="1" applyBorder="1" applyAlignment="1">
      <alignment horizontal="right"/>
    </xf>
    <xf numFmtId="0" fontId="26" fillId="34" borderId="31" xfId="45" applyFont="1" applyFill="1" applyBorder="1"/>
    <xf numFmtId="0" fontId="26" fillId="34" borderId="25" xfId="45" applyFont="1" applyFill="1" applyBorder="1" applyAlignment="1">
      <alignment horizontal="left" vertical="center"/>
    </xf>
    <xf numFmtId="0" fontId="28" fillId="0" borderId="27" xfId="44" applyFont="1" applyFill="1" applyBorder="1" applyAlignment="1">
      <alignment horizontal="left" vertical="center"/>
    </xf>
    <xf numFmtId="0" fontId="27" fillId="34" borderId="19" xfId="45" applyFont="1" applyFill="1" applyBorder="1" applyAlignment="1">
      <alignment horizontal="right"/>
    </xf>
    <xf numFmtId="0" fontId="26" fillId="34" borderId="17" xfId="45" applyFont="1" applyFill="1" applyBorder="1"/>
    <xf numFmtId="0" fontId="27" fillId="0" borderId="16" xfId="45" applyFont="1" applyBorder="1" applyAlignment="1">
      <alignment horizontal="right"/>
    </xf>
    <xf numFmtId="165" fontId="26" fillId="0" borderId="14" xfId="45" applyNumberFormat="1" applyFont="1" applyBorder="1" applyAlignment="1">
      <alignment horizontal="right"/>
    </xf>
    <xf numFmtId="15" fontId="26" fillId="0" borderId="0" xfId="45" applyNumberFormat="1" applyFont="1"/>
    <xf numFmtId="49" fontId="27" fillId="0" borderId="25" xfId="45" applyNumberFormat="1" applyFont="1" applyBorder="1" applyAlignment="1">
      <alignment horizontal="left" vertical="center"/>
    </xf>
    <xf numFmtId="0" fontId="27" fillId="0" borderId="13" xfId="45" applyFont="1" applyBorder="1" applyAlignment="1">
      <alignment horizontal="right"/>
    </xf>
    <xf numFmtId="15" fontId="26" fillId="0" borderId="11" xfId="45" applyNumberFormat="1" applyFont="1" applyBorder="1" applyAlignment="1">
      <alignment horizontal="right"/>
    </xf>
    <xf numFmtId="15" fontId="26" fillId="0" borderId="0" xfId="45" applyNumberFormat="1" applyFont="1" applyAlignment="1">
      <alignment horizontal="right"/>
    </xf>
    <xf numFmtId="0" fontId="26" fillId="0" borderId="26" xfId="45" applyFont="1" applyBorder="1" applyAlignment="1">
      <alignment horizontal="left" vertical="center"/>
    </xf>
    <xf numFmtId="0" fontId="27" fillId="0" borderId="0" xfId="45" applyFont="1" applyAlignment="1">
      <alignment horizontal="right"/>
    </xf>
    <xf numFmtId="0" fontId="29" fillId="0" borderId="0" xfId="0" applyFont="1" applyAlignment="1">
      <alignment horizontal="center"/>
    </xf>
    <xf numFmtId="0" fontId="29" fillId="0" borderId="0" xfId="0" applyFont="1" applyAlignment="1">
      <alignment horizontal="left"/>
    </xf>
    <xf numFmtId="0" fontId="18" fillId="0" borderId="0" xfId="0" applyFont="1"/>
    <xf numFmtId="0" fontId="27" fillId="0" borderId="26" xfId="45" applyFont="1" applyBorder="1" applyAlignment="1">
      <alignment horizontal="left" vertical="center"/>
    </xf>
    <xf numFmtId="49" fontId="16" fillId="34" borderId="15" xfId="0" applyNumberFormat="1" applyFont="1" applyFill="1" applyBorder="1" applyAlignment="1">
      <alignment horizontal="center" vertical="center" wrapText="1"/>
    </xf>
    <xf numFmtId="49" fontId="0" fillId="0" borderId="0" xfId="0" applyNumberFormat="1" applyAlignment="1">
      <alignment horizontal="left"/>
    </xf>
    <xf numFmtId="49" fontId="0" fillId="0" borderId="0" xfId="0" applyNumberFormat="1"/>
    <xf numFmtId="0" fontId="26" fillId="0" borderId="26" xfId="45" applyFont="1" applyBorder="1" applyAlignment="1">
      <alignment horizontal="left" vertical="center" wrapText="1"/>
    </xf>
    <xf numFmtId="0" fontId="0" fillId="0" borderId="0" xfId="0" applyAlignment="1">
      <alignment wrapText="1"/>
    </xf>
    <xf numFmtId="0" fontId="30" fillId="0" borderId="0" xfId="0" applyFont="1"/>
  </cellXfs>
  <cellStyles count="47">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4" builtinId="8"/>
    <cellStyle name="Hyperlink 2" xfId="46" xr:uid="{67E4E73A-2184-754C-B793-3A06C8FF8E35}"/>
    <cellStyle name="Input" xfId="9" builtinId="20" customBuiltin="1"/>
    <cellStyle name="Linked Cell" xfId="12" builtinId="24" customBuiltin="1"/>
    <cellStyle name="Neutral" xfId="8" builtinId="28" customBuiltin="1"/>
    <cellStyle name="Normal" xfId="0" builtinId="0"/>
    <cellStyle name="Normal 2" xfId="45" xr:uid="{8C32F69F-8989-FE4F-B11C-AAF42A0DF252}"/>
    <cellStyle name="Normal 2 2" xfId="43" xr:uid="{00000000-0005-0000-0000-000025000000}"/>
    <cellStyle name="Normal 3" xfId="42" xr:uid="{00000000-0005-0000-0000-000026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hyperlink" Target="https://ictv.global/about/code"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mailto:CurtisH@uab.edu" TargetMode="External"/><Relationship Id="rId13" Type="http://schemas.openxmlformats.org/officeDocument/2006/relationships/hyperlink" Target="mailto:CurtisH@uab.edu" TargetMode="External"/><Relationship Id="rId18" Type="http://schemas.openxmlformats.org/officeDocument/2006/relationships/hyperlink" Target="mailto:Curtish@uab.edu" TargetMode="External"/><Relationship Id="rId3" Type="http://schemas.openxmlformats.org/officeDocument/2006/relationships/hyperlink" Target="mailto:CurtisH@uab.edu" TargetMode="External"/><Relationship Id="rId21" Type="http://schemas.openxmlformats.org/officeDocument/2006/relationships/hyperlink" Target="mailto:CurtisH@uab.edu" TargetMode="External"/><Relationship Id="rId7" Type="http://schemas.openxmlformats.org/officeDocument/2006/relationships/hyperlink" Target="mailto:CurtisH@uab.edu" TargetMode="External"/><Relationship Id="rId12" Type="http://schemas.openxmlformats.org/officeDocument/2006/relationships/hyperlink" Target="mailto:CurtisH@uab.edu" TargetMode="External"/><Relationship Id="rId17" Type="http://schemas.openxmlformats.org/officeDocument/2006/relationships/hyperlink" Target="mailto:CurtisH@uab.edu" TargetMode="External"/><Relationship Id="rId25" Type="http://schemas.openxmlformats.org/officeDocument/2006/relationships/hyperlink" Target="mailto:CurtisH@uab.edu" TargetMode="External"/><Relationship Id="rId2" Type="http://schemas.openxmlformats.org/officeDocument/2006/relationships/hyperlink" Target="mailto:CurtisH@uab.edu" TargetMode="External"/><Relationship Id="rId16" Type="http://schemas.openxmlformats.org/officeDocument/2006/relationships/hyperlink" Target="mailto:CurtisH@uab.edu" TargetMode="External"/><Relationship Id="rId20" Type="http://schemas.openxmlformats.org/officeDocument/2006/relationships/hyperlink" Target="mailto:CurtisH@uab.edu" TargetMode="External"/><Relationship Id="rId1" Type="http://schemas.openxmlformats.org/officeDocument/2006/relationships/hyperlink" Target="mailto:CurtisH@uab.edu" TargetMode="External"/><Relationship Id="rId6" Type="http://schemas.openxmlformats.org/officeDocument/2006/relationships/hyperlink" Target="mailto:CurtisH@uab.edu" TargetMode="External"/><Relationship Id="rId11" Type="http://schemas.openxmlformats.org/officeDocument/2006/relationships/hyperlink" Target="mailto:CurtisH@uab.edu" TargetMode="External"/><Relationship Id="rId24" Type="http://schemas.openxmlformats.org/officeDocument/2006/relationships/hyperlink" Target="mailto:CurtisH@uab.edu" TargetMode="External"/><Relationship Id="rId5" Type="http://schemas.openxmlformats.org/officeDocument/2006/relationships/hyperlink" Target="mailto:CurtisH@uab.edu" TargetMode="External"/><Relationship Id="rId15" Type="http://schemas.openxmlformats.org/officeDocument/2006/relationships/hyperlink" Target="mailto:CurtisH@uab.edu" TargetMode="External"/><Relationship Id="rId23" Type="http://schemas.openxmlformats.org/officeDocument/2006/relationships/hyperlink" Target="mailto:CurtisH@uab.edu" TargetMode="External"/><Relationship Id="rId10" Type="http://schemas.openxmlformats.org/officeDocument/2006/relationships/hyperlink" Target="mailto:CurtisH@uab.edu" TargetMode="External"/><Relationship Id="rId19" Type="http://schemas.openxmlformats.org/officeDocument/2006/relationships/hyperlink" Target="mailto:CurtisH@uab.edu" TargetMode="External"/><Relationship Id="rId4" Type="http://schemas.openxmlformats.org/officeDocument/2006/relationships/hyperlink" Target="mailto:CurtisH@uab.edu" TargetMode="External"/><Relationship Id="rId9" Type="http://schemas.openxmlformats.org/officeDocument/2006/relationships/hyperlink" Target="mailto:CurtisH@uab.edu" TargetMode="External"/><Relationship Id="rId14" Type="http://schemas.openxmlformats.org/officeDocument/2006/relationships/hyperlink" Target="mailto:CurtisH@uab.edu" TargetMode="External"/><Relationship Id="rId22" Type="http://schemas.openxmlformats.org/officeDocument/2006/relationships/hyperlink" Target="mailto:CurtisH@uab.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9F752-4B12-2A41-8FFB-A5B2A9DC8616}">
  <dimension ref="A1:F21"/>
  <sheetViews>
    <sheetView showGridLines="0" zoomScale="120" zoomScaleNormal="120" workbookViewId="0">
      <selection activeCell="E19" sqref="E19"/>
    </sheetView>
  </sheetViews>
  <sheetFormatPr baseColWidth="10" defaultColWidth="11.5" defaultRowHeight="13" x14ac:dyDescent="0.15"/>
  <cols>
    <col min="1" max="1" width="3.33203125" style="36" customWidth="1"/>
    <col min="2" max="2" width="11.83203125" style="36" customWidth="1"/>
    <col min="3" max="3" width="23.5" style="36" customWidth="1"/>
    <col min="4" max="4" width="4.6640625" style="36" customWidth="1"/>
    <col min="5" max="5" width="93.83203125" style="37" customWidth="1"/>
    <col min="6" max="6" width="54.6640625" style="36" customWidth="1"/>
    <col min="7" max="7" width="10.83203125" style="36" customWidth="1"/>
    <col min="8" max="16384" width="11.5" style="36"/>
  </cols>
  <sheetData>
    <row r="1" spans="1:6" ht="14" thickBot="1" x14ac:dyDescent="0.2"/>
    <row r="2" spans="1:6" s="38" customFormat="1" ht="19" thickBot="1" x14ac:dyDescent="0.25">
      <c r="B2" s="45" t="s">
        <v>145</v>
      </c>
      <c r="C2" s="46"/>
      <c r="D2" s="46"/>
      <c r="E2" s="47"/>
      <c r="F2" s="39"/>
    </row>
    <row r="3" spans="1:6" ht="17" thickBot="1" x14ac:dyDescent="0.25">
      <c r="B3" s="48"/>
      <c r="C3" s="48"/>
      <c r="D3" s="48"/>
      <c r="E3" s="48"/>
    </row>
    <row r="4" spans="1:6" ht="19" thickBot="1" x14ac:dyDescent="0.25">
      <c r="A4" s="38"/>
      <c r="B4" s="49" t="s">
        <v>141</v>
      </c>
      <c r="C4" s="50" t="s">
        <v>126</v>
      </c>
      <c r="D4" s="48"/>
      <c r="E4" s="51" t="s">
        <v>143</v>
      </c>
    </row>
    <row r="5" spans="1:6" ht="16" x14ac:dyDescent="0.2">
      <c r="A5" s="40"/>
      <c r="B5" s="48"/>
      <c r="C5" s="48"/>
      <c r="D5" s="48"/>
      <c r="E5" s="52" t="s">
        <v>142</v>
      </c>
    </row>
    <row r="6" spans="1:6" ht="17" thickBot="1" x14ac:dyDescent="0.25">
      <c r="B6" s="48"/>
      <c r="C6" s="48"/>
      <c r="D6" s="48"/>
      <c r="E6" s="48"/>
    </row>
    <row r="7" spans="1:6" ht="18" x14ac:dyDescent="0.2">
      <c r="A7" s="38"/>
      <c r="B7" s="53" t="s">
        <v>122</v>
      </c>
      <c r="C7" s="54" t="s">
        <v>146</v>
      </c>
      <c r="D7" s="48"/>
      <c r="E7" s="51" t="str">
        <f>CONCATENATE("Version ",C7)</f>
        <v>Version MSL40.v1</v>
      </c>
    </row>
    <row r="8" spans="1:6" ht="16" x14ac:dyDescent="0.2">
      <c r="A8" s="40"/>
      <c r="B8" s="55" t="s">
        <v>123</v>
      </c>
      <c r="C8" s="56">
        <v>45723</v>
      </c>
      <c r="D8" s="57"/>
      <c r="E8" s="58" t="s">
        <v>147</v>
      </c>
    </row>
    <row r="9" spans="1:6" ht="17" thickBot="1" x14ac:dyDescent="0.25">
      <c r="A9" s="40"/>
      <c r="B9" s="59" t="s">
        <v>124</v>
      </c>
      <c r="C9" s="60" t="s">
        <v>160</v>
      </c>
      <c r="D9" s="61"/>
      <c r="E9" s="62" t="s">
        <v>148</v>
      </c>
    </row>
    <row r="10" spans="1:6" ht="16" x14ac:dyDescent="0.2">
      <c r="A10" s="40"/>
      <c r="B10" s="63"/>
      <c r="C10" s="61"/>
      <c r="D10" s="61"/>
      <c r="E10" s="62" t="s">
        <v>149</v>
      </c>
    </row>
    <row r="11" spans="1:6" ht="16" x14ac:dyDescent="0.2">
      <c r="A11" s="40"/>
      <c r="B11" s="48"/>
      <c r="C11" s="48"/>
      <c r="D11" s="48"/>
      <c r="E11" s="62" t="s">
        <v>161</v>
      </c>
    </row>
    <row r="12" spans="1:6" ht="16" x14ac:dyDescent="0.2">
      <c r="B12" s="40"/>
      <c r="C12" s="40"/>
      <c r="D12" s="40"/>
      <c r="E12" s="52" t="str">
        <f>HYPERLINK("https://ictv.global/vmr","For more information see: https://ictv.global/vmr")</f>
        <v>For more information see: https://ictv.global/vmr</v>
      </c>
    </row>
    <row r="13" spans="1:6" ht="14" thickBot="1" x14ac:dyDescent="0.2">
      <c r="E13" s="36"/>
    </row>
    <row r="14" spans="1:6" ht="16" x14ac:dyDescent="0.2">
      <c r="B14" s="53" t="s">
        <v>122</v>
      </c>
      <c r="C14" s="54" t="s">
        <v>184</v>
      </c>
      <c r="D14" s="48"/>
      <c r="E14" s="51" t="str">
        <f>CONCATENATE("Version ",C14)</f>
        <v>Version MSL40.v2</v>
      </c>
    </row>
    <row r="15" spans="1:6" ht="16" x14ac:dyDescent="0.2">
      <c r="B15" s="55" t="s">
        <v>123</v>
      </c>
      <c r="C15" s="56">
        <v>45943</v>
      </c>
      <c r="D15" s="57"/>
      <c r="E15" s="58" t="s">
        <v>189</v>
      </c>
    </row>
    <row r="16" spans="1:6" ht="17" thickBot="1" x14ac:dyDescent="0.25">
      <c r="B16" s="59" t="s">
        <v>124</v>
      </c>
      <c r="C16" s="60" t="s">
        <v>185</v>
      </c>
      <c r="D16" s="61"/>
      <c r="E16" s="62" t="s">
        <v>186</v>
      </c>
    </row>
    <row r="17" spans="2:5" ht="16" x14ac:dyDescent="0.2">
      <c r="B17" s="63"/>
      <c r="C17" s="61"/>
      <c r="D17" s="61"/>
      <c r="E17" s="62" t="s">
        <v>187</v>
      </c>
    </row>
    <row r="18" spans="2:5" ht="16" x14ac:dyDescent="0.2">
      <c r="B18" s="63"/>
      <c r="C18" s="61"/>
      <c r="D18" s="61"/>
      <c r="E18" s="67" t="s">
        <v>188</v>
      </c>
    </row>
    <row r="19" spans="2:5" ht="68" x14ac:dyDescent="0.2">
      <c r="B19" s="63"/>
      <c r="C19" s="61"/>
      <c r="D19" s="61"/>
      <c r="E19" s="71" t="s">
        <v>191</v>
      </c>
    </row>
    <row r="20" spans="2:5" ht="16" x14ac:dyDescent="0.2">
      <c r="B20" s="48"/>
      <c r="C20" s="48"/>
      <c r="D20" s="48"/>
      <c r="E20" s="52" t="str">
        <f>HYPERLINK("https://ictv.global/vmr","For more information see: https://ictv.global/vmr")</f>
        <v>For more information see: https://ictv.global/vmr</v>
      </c>
    </row>
    <row r="21" spans="2:5" ht="16" x14ac:dyDescent="0.2">
      <c r="B21" s="40"/>
      <c r="C21" s="40"/>
      <c r="D21" s="40"/>
      <c r="E21" s="36"/>
    </row>
  </sheetData>
  <pageMargins left="0.75" right="0.75" top="1" bottom="1" header="0.5" footer="0.5"/>
  <pageSetup orientation="portrait" horizontalDpi="4294967292" vertic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8"/>
  <sheetViews>
    <sheetView zoomScale="115" zoomScaleNormal="100" workbookViewId="0">
      <pane xSplit="3" ySplit="1" topLeftCell="D17905" activePane="bottomRight" state="frozen"/>
      <selection pane="topRight" activeCell="C1" sqref="C1"/>
      <selection pane="bottomLeft" activeCell="A2" sqref="A2"/>
      <selection pane="bottomRight" activeCell="A17931" sqref="A3:XFD17931"/>
    </sheetView>
  </sheetViews>
  <sheetFormatPr baseColWidth="10" defaultColWidth="10.6640625" defaultRowHeight="16" x14ac:dyDescent="0.2"/>
  <cols>
    <col min="1" max="1" width="14" style="33" bestFit="1" customWidth="1"/>
    <col min="2" max="2" width="9.5" customWidth="1"/>
    <col min="3" max="3" width="9.83203125" customWidth="1"/>
    <col min="4" max="4" width="13" style="66" customWidth="1"/>
    <col min="5" max="5" width="14" style="66" customWidth="1"/>
    <col min="6" max="6" width="15" style="66" customWidth="1"/>
    <col min="7" max="7" width="14.6640625" style="66" customWidth="1"/>
    <col min="8" max="8" width="16.33203125" style="66" customWidth="1"/>
    <col min="9" max="9" width="15.33203125" style="66" customWidth="1"/>
    <col min="10" max="10" width="17.6640625" style="66" customWidth="1"/>
    <col min="11" max="11" width="13.1640625" style="66" customWidth="1"/>
    <col min="12" max="12" width="17" style="66" customWidth="1"/>
    <col min="13" max="13" width="17.6640625" style="66" customWidth="1"/>
    <col min="14" max="14" width="19.5" style="66" customWidth="1"/>
    <col min="15" max="15" width="22.1640625" style="66" customWidth="1"/>
    <col min="16" max="16" width="23.83203125" style="66" customWidth="1"/>
    <col min="17" max="17" width="14.1640625" style="66" customWidth="1"/>
    <col min="18" max="18" width="40.5" style="17" customWidth="1"/>
    <col min="19" max="19" width="14.5" style="33" bestFit="1" customWidth="1"/>
    <col min="20" max="20" width="8.5" customWidth="1"/>
    <col min="21" max="21" width="40.33203125" style="70" customWidth="1"/>
    <col min="22" max="22" width="12.1640625" style="70" customWidth="1"/>
    <col min="23" max="23" width="32.83203125" style="70" customWidth="1"/>
    <col min="24" max="24" width="58.1640625" customWidth="1"/>
    <col min="25" max="25" width="22.5" customWidth="1"/>
    <col min="26" max="26" width="23.83203125" customWidth="1"/>
    <col min="27" max="27" width="22.83203125" customWidth="1"/>
    <col min="28" max="28" width="22.83203125" style="33" customWidth="1"/>
    <col min="29" max="29" width="100.5" customWidth="1"/>
    <col min="30" max="31" width="22.83203125" customWidth="1"/>
    <col min="32" max="32" width="10.83203125" customWidth="1"/>
    <col min="33" max="33" width="12.5" customWidth="1"/>
    <col min="34" max="34" width="5.83203125" style="22" customWidth="1"/>
    <col min="35" max="35" width="11.6640625" customWidth="1"/>
  </cols>
  <sheetData>
    <row r="1" spans="1:35" ht="85" x14ac:dyDescent="0.2">
      <c r="A1" s="14" t="s">
        <v>87</v>
      </c>
      <c r="B1" s="14" t="s">
        <v>77</v>
      </c>
      <c r="C1" s="14" t="s">
        <v>0</v>
      </c>
      <c r="D1" s="14" t="s">
        <v>1</v>
      </c>
      <c r="E1" s="14" t="s">
        <v>2</v>
      </c>
      <c r="F1" s="14" t="s">
        <v>3</v>
      </c>
      <c r="G1" s="14" t="s">
        <v>4</v>
      </c>
      <c r="H1" s="14" t="s">
        <v>5</v>
      </c>
      <c r="I1" s="14" t="s">
        <v>6</v>
      </c>
      <c r="J1" s="14" t="s">
        <v>7</v>
      </c>
      <c r="K1" s="14" t="s">
        <v>8</v>
      </c>
      <c r="L1" s="14" t="s">
        <v>9</v>
      </c>
      <c r="M1" s="14" t="s">
        <v>10</v>
      </c>
      <c r="N1" s="14" t="s">
        <v>11</v>
      </c>
      <c r="O1" s="14" t="s">
        <v>12</v>
      </c>
      <c r="P1" s="14" t="s">
        <v>13</v>
      </c>
      <c r="Q1" s="14" t="s">
        <v>14</v>
      </c>
      <c r="R1" s="14" t="s">
        <v>15</v>
      </c>
      <c r="S1" s="14" t="s">
        <v>154</v>
      </c>
      <c r="T1" s="14" t="s">
        <v>16</v>
      </c>
      <c r="U1" s="68" t="s">
        <v>17</v>
      </c>
      <c r="V1" s="68" t="s">
        <v>18</v>
      </c>
      <c r="W1" s="68" t="s">
        <v>19</v>
      </c>
      <c r="X1" s="15" t="s">
        <v>20</v>
      </c>
      <c r="Y1" s="16" t="s">
        <v>21</v>
      </c>
      <c r="Z1" s="14" t="s">
        <v>139</v>
      </c>
      <c r="AA1" s="14" t="s">
        <v>22</v>
      </c>
      <c r="AB1" s="34" t="s">
        <v>109</v>
      </c>
      <c r="AC1" s="35" t="s">
        <v>110</v>
      </c>
      <c r="AD1" s="23" t="s">
        <v>92</v>
      </c>
      <c r="AE1" s="23" t="s">
        <v>93</v>
      </c>
      <c r="AF1" s="23" t="s">
        <v>94</v>
      </c>
      <c r="AG1" s="23" t="s">
        <v>95</v>
      </c>
      <c r="AH1" s="19" t="str">
        <f>_xlfn.CONCAT("#𝚫","
",SUM(AH2:AH1048576))</f>
        <v>#𝚫
0</v>
      </c>
      <c r="AI1" s="19" t="s">
        <v>98</v>
      </c>
    </row>
    <row r="2" spans="1:35" x14ac:dyDescent="0.2">
      <c r="A2" s="33" t="str">
        <f>HYPERLINK("https://ictv.global/id/VMR1028127","VMR1028127")</f>
        <v>VMR1028127</v>
      </c>
      <c r="B2">
        <v>1</v>
      </c>
      <c r="C2">
        <v>1</v>
      </c>
      <c r="D2" s="17" t="s">
        <v>23</v>
      </c>
      <c r="E2" s="17"/>
      <c r="F2" s="17" t="s">
        <v>24</v>
      </c>
      <c r="G2" s="17"/>
      <c r="H2" s="17" t="s">
        <v>25</v>
      </c>
      <c r="I2" s="17"/>
      <c r="J2" s="17" t="s">
        <v>26</v>
      </c>
      <c r="K2" s="17"/>
      <c r="L2" s="17" t="s">
        <v>27</v>
      </c>
      <c r="M2" s="17"/>
      <c r="N2" s="17" t="s">
        <v>150</v>
      </c>
      <c r="O2" s="17"/>
      <c r="P2" s="17" t="s">
        <v>151</v>
      </c>
      <c r="Q2" s="17"/>
      <c r="R2" s="17" t="s">
        <v>157</v>
      </c>
      <c r="S2" s="32" t="str">
        <f>HYPERLINK("https://ictv.global/id/ICTV202420188","ICTV202420188")</f>
        <v>ICTV202420188</v>
      </c>
      <c r="T2" s="18" t="s">
        <v>28</v>
      </c>
      <c r="U2" s="69" t="s">
        <v>172</v>
      </c>
      <c r="V2" s="69" t="s">
        <v>55</v>
      </c>
      <c r="W2" s="69"/>
      <c r="X2" s="18" t="s">
        <v>152</v>
      </c>
      <c r="Y2" s="18" t="s">
        <v>32</v>
      </c>
      <c r="Z2" s="18" t="s">
        <v>30</v>
      </c>
      <c r="AA2" s="18" t="s">
        <v>31</v>
      </c>
      <c r="AB2" s="32" t="str">
        <f>HYPERLINK("https://www.ncbi.nlm.nih.gov/nuccore/PP467602","NCBI Nucleotide")</f>
        <v>NCBI Nucleotide</v>
      </c>
      <c r="AC2" s="18"/>
      <c r="AD2" s="18"/>
      <c r="AE2" s="18" t="s">
        <v>30</v>
      </c>
      <c r="AF2" s="18" t="s">
        <v>86</v>
      </c>
      <c r="AG2" s="18" t="str">
        <f>HYPERLINK("https://ictv.global/ictv/proposals/2024.005A.Bathyarchaeia_4newfam.zip","2024.005A.Bathyarchaeia_4newfam.zip")</f>
        <v>2024.005A.Bathyarchaeia_4newfam.zip</v>
      </c>
      <c r="AH2" s="22">
        <f>IF(AND(LEN($A2)=0,LEN($R2)&gt;0),"1",INDEX(Original!AH:AH,MATCH($A2,Original!$A:$A,0)))</f>
        <v>0</v>
      </c>
      <c r="AI2" s="18" t="str">
        <f>IF(AND(LEN($A2)=0,LEN($R2)&gt;0),"new isolate",INDEX(Original!AI:AI,MATCH($A2,Original!$A:$A,0)))</f>
        <v/>
      </c>
    </row>
    <row r="3" spans="1:35" x14ac:dyDescent="0.2">
      <c r="AH3" s="64"/>
      <c r="AI3" s="65"/>
    </row>
    <row r="4" spans="1:35" x14ac:dyDescent="0.2">
      <c r="AH4" s="64"/>
      <c r="AI4" s="65"/>
    </row>
    <row r="5" spans="1:35" x14ac:dyDescent="0.2">
      <c r="AH5" s="64"/>
      <c r="AI5" s="65"/>
    </row>
    <row r="6" spans="1:35" x14ac:dyDescent="0.2">
      <c r="AH6" s="64"/>
      <c r="AI6" s="65"/>
    </row>
    <row r="7" spans="1:35" x14ac:dyDescent="0.2">
      <c r="AH7" s="64"/>
      <c r="AI7" s="65"/>
    </row>
    <row r="8" spans="1:35" x14ac:dyDescent="0.2">
      <c r="AH8" s="64"/>
      <c r="AI8" s="65"/>
    </row>
  </sheetData>
  <autoFilter ref="Y1:Y142" xr:uid="{00000000-0001-0000-0000-000000000000}"/>
  <sortState xmlns:xlrd2="http://schemas.microsoft.com/office/spreadsheetml/2017/richdata2" ref="B2:AA2">
    <sortCondition ref="D2"/>
    <sortCondition ref="E2"/>
    <sortCondition ref="F2"/>
    <sortCondition ref="G2"/>
    <sortCondition ref="H2"/>
    <sortCondition ref="I2"/>
    <sortCondition ref="J2"/>
    <sortCondition ref="K2"/>
    <sortCondition ref="L2"/>
    <sortCondition ref="M2"/>
    <sortCondition ref="N2"/>
    <sortCondition ref="O2"/>
    <sortCondition ref="P2"/>
    <sortCondition ref="Q2"/>
    <sortCondition ref="R2"/>
    <sortCondition descending="1" ref="T2"/>
    <sortCondition ref="C2"/>
  </sortState>
  <conditionalFormatting sqref="A1:AG1048576">
    <cfRule type="expression" dxfId="12" priority="2">
      <formula>AND(LEN($A1)=0,LEN($R1)&gt;0)</formula>
    </cfRule>
  </conditionalFormatting>
  <conditionalFormatting sqref="AH1:AH2 AH9:AH1048576">
    <cfRule type="cellIs" dxfId="10" priority="15" operator="greaterThan">
      <formula>0</formula>
    </cfRule>
  </conditionalFormatting>
  <conditionalFormatting sqref="AI1:AI2 AI9:AI1048576">
    <cfRule type="containsText" dxfId="9" priority="14" operator="containsText" text="?*">
      <formula>NOT(ISERROR(SEARCH("?*",AI1)))</formula>
    </cfRule>
  </conditionalFormatting>
  <pageMargins left="0.7" right="0.7" top="0.75" bottom="0.75"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11" id="{CCF88F02-A521-814A-99DA-907B4AA4EC7D}">
            <xm:f>NOT(EXACT(A1,INDEX(Original!A:A,MATCH($A1,Original!$A:$A,0))))</xm:f>
            <x14:dxf>
              <font>
                <color rgb="FF006100"/>
              </font>
              <fill>
                <patternFill>
                  <bgColor rgb="FFC6EFCE"/>
                </patternFill>
              </fill>
            </x14:dxf>
          </x14:cfRule>
          <xm:sqref>A1 B1:AB1048576</xm:sqref>
        </x14:conditionalFormatting>
        <x14:conditionalFormatting xmlns:xm="http://schemas.microsoft.com/office/excel/2006/main">
          <x14:cfRule type="expression" priority="24" id="{0C08C6DE-06A0-654F-844B-6C272E8A8E0F}">
            <xm:f>NOT(EXACT(AC1,INDEX(Original!AD:AD,MATCH($A1,Original!$A:$A,0))))</xm:f>
            <x14:dxf>
              <font>
                <color rgb="FF006100"/>
              </font>
              <fill>
                <patternFill>
                  <bgColor rgb="FFC6EFCE"/>
                </patternFill>
              </fill>
            </x14:dxf>
          </x14:cfRule>
          <xm:sqref>AC1</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3BA818C8-AAB5-CA4C-9D4A-828168B2716B}">
          <x14:formula1>
            <xm:f>'Column Values'!$B:$B</xm:f>
          </x14:formula1>
          <xm:sqref>Y1:Y1048576</xm:sqref>
        </x14:dataValidation>
        <x14:dataValidation type="list" allowBlank="1" showInputMessage="1" showErrorMessage="1" xr:uid="{2248658B-71E3-9747-BDD1-0D04DCBF3728}">
          <x14:formula1>
            <xm:f>'Column Values'!$C:$C</xm:f>
          </x14:formula1>
          <xm:sqref>Z1:Z1048576</xm:sqref>
        </x14:dataValidation>
        <x14:dataValidation type="list" allowBlank="1" showInputMessage="1" showErrorMessage="1" xr:uid="{0C113778-F370-3D49-AD48-BF20FD4EEADB}">
          <x14:formula1>
            <xm:f>'Column Values'!$D:$D</xm:f>
          </x14:formula1>
          <xm:sqref>AA1:AA1048576</xm:sqref>
        </x14:dataValidation>
        <x14:dataValidation type="list" allowBlank="1" showInputMessage="1" showErrorMessage="1" xr:uid="{10FAC175-DDA5-B442-A2F8-FB7F2D45483D}">
          <x14:formula1>
            <xm:f>'Column Values'!$A:$A</xm:f>
          </x14:formula1>
          <xm:sqref>T1:T1048576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0"/>
  <sheetViews>
    <sheetView topLeftCell="A14" zoomScaleNormal="100" workbookViewId="0">
      <selection activeCell="C14" sqref="C14"/>
    </sheetView>
  </sheetViews>
  <sheetFormatPr baseColWidth="10" defaultColWidth="10.83203125" defaultRowHeight="16" x14ac:dyDescent="0.2"/>
  <cols>
    <col min="1" max="1" width="12" style="2" customWidth="1"/>
    <col min="2" max="2" width="26.1640625" style="2" bestFit="1" customWidth="1"/>
    <col min="3" max="3" width="111.1640625" style="2" customWidth="1"/>
    <col min="4" max="16384" width="10.83203125" style="1"/>
  </cols>
  <sheetData>
    <row r="1" spans="1:3" ht="17" x14ac:dyDescent="0.2">
      <c r="A1" s="13" t="s">
        <v>80</v>
      </c>
      <c r="B1" s="12" t="s">
        <v>79</v>
      </c>
      <c r="C1" s="11" t="s">
        <v>78</v>
      </c>
    </row>
    <row r="2" spans="1:3" ht="34" x14ac:dyDescent="0.2">
      <c r="A2" s="9" t="s">
        <v>37</v>
      </c>
      <c r="B2" s="8" t="s">
        <v>87</v>
      </c>
      <c r="C2" s="7" t="s">
        <v>155</v>
      </c>
    </row>
    <row r="3" spans="1:3" ht="17" x14ac:dyDescent="0.2">
      <c r="A3" s="9" t="s">
        <v>60</v>
      </c>
      <c r="B3" s="8" t="s">
        <v>77</v>
      </c>
      <c r="C3" s="7" t="s">
        <v>129</v>
      </c>
    </row>
    <row r="4" spans="1:3" ht="17" x14ac:dyDescent="0.2">
      <c r="A4" s="9" t="s">
        <v>52</v>
      </c>
      <c r="B4" s="8" t="s">
        <v>0</v>
      </c>
      <c r="C4" s="10" t="s">
        <v>130</v>
      </c>
    </row>
    <row r="5" spans="1:3" ht="102" x14ac:dyDescent="0.2">
      <c r="A5" s="9" t="s">
        <v>131</v>
      </c>
      <c r="B5" s="8" t="s">
        <v>132</v>
      </c>
      <c r="C5" s="10" t="s">
        <v>133</v>
      </c>
    </row>
    <row r="6" spans="1:3" ht="34" x14ac:dyDescent="0.2">
      <c r="A6" s="9" t="s">
        <v>58</v>
      </c>
      <c r="B6" s="8" t="s">
        <v>154</v>
      </c>
      <c r="C6" s="10" t="s">
        <v>159</v>
      </c>
    </row>
    <row r="7" spans="1:3" ht="17" x14ac:dyDescent="0.2">
      <c r="A7" s="9" t="s">
        <v>68</v>
      </c>
      <c r="B7" s="8" t="s">
        <v>16</v>
      </c>
      <c r="C7" s="10" t="s">
        <v>134</v>
      </c>
    </row>
    <row r="8" spans="1:3" ht="17" x14ac:dyDescent="0.2">
      <c r="A8" s="9" t="s">
        <v>76</v>
      </c>
      <c r="B8" s="8" t="s">
        <v>17</v>
      </c>
      <c r="C8" s="10" t="s">
        <v>135</v>
      </c>
    </row>
    <row r="9" spans="1:3" ht="17" x14ac:dyDescent="0.2">
      <c r="A9" s="9" t="s">
        <v>59</v>
      </c>
      <c r="B9" s="8" t="s">
        <v>18</v>
      </c>
      <c r="C9" s="10" t="s">
        <v>136</v>
      </c>
    </row>
    <row r="10" spans="1:3" ht="17" x14ac:dyDescent="0.2">
      <c r="A10" s="9" t="s">
        <v>67</v>
      </c>
      <c r="B10" s="8" t="s">
        <v>19</v>
      </c>
      <c r="C10" s="10" t="s">
        <v>137</v>
      </c>
    </row>
    <row r="11" spans="1:3" ht="34" x14ac:dyDescent="0.2">
      <c r="A11" s="9" t="s">
        <v>75</v>
      </c>
      <c r="B11" s="8" t="s">
        <v>20</v>
      </c>
      <c r="C11" s="10" t="s">
        <v>144</v>
      </c>
    </row>
    <row r="12" spans="1:3" ht="85" x14ac:dyDescent="0.2">
      <c r="A12" s="9" t="s">
        <v>69</v>
      </c>
      <c r="B12" s="8" t="s">
        <v>21</v>
      </c>
      <c r="C12" s="7" t="s">
        <v>208</v>
      </c>
    </row>
    <row r="13" spans="1:3" ht="255" x14ac:dyDescent="0.2">
      <c r="A13" s="41" t="s">
        <v>74</v>
      </c>
      <c r="B13" s="8" t="s">
        <v>139</v>
      </c>
      <c r="C13" s="7" t="s">
        <v>210</v>
      </c>
    </row>
    <row r="14" spans="1:3" ht="409" customHeight="1" thickBot="1" x14ac:dyDescent="0.25">
      <c r="A14" s="6" t="s">
        <v>47</v>
      </c>
      <c r="B14" s="42" t="s">
        <v>73</v>
      </c>
      <c r="C14" s="43" t="s">
        <v>209</v>
      </c>
    </row>
    <row r="15" spans="1:3" ht="18" thickBot="1" x14ac:dyDescent="0.25">
      <c r="A15" s="6" t="s">
        <v>156</v>
      </c>
      <c r="B15" s="6" t="s">
        <v>109</v>
      </c>
      <c r="C15" s="5" t="s">
        <v>158</v>
      </c>
    </row>
    <row r="16" spans="1:3" x14ac:dyDescent="0.2">
      <c r="B16" s="3"/>
      <c r="C16" s="4"/>
    </row>
    <row r="17" spans="3:4" ht="34" x14ac:dyDescent="0.2">
      <c r="C17" s="44" t="s">
        <v>72</v>
      </c>
    </row>
    <row r="19" spans="3:4" ht="37" customHeight="1" x14ac:dyDescent="0.2"/>
    <row r="28" spans="3:4" ht="327" customHeight="1" x14ac:dyDescent="0.2"/>
    <row r="30" spans="3:4" ht="16" customHeight="1" x14ac:dyDescent="0.2">
      <c r="D30" s="3"/>
    </row>
  </sheetData>
  <hyperlinks>
    <hyperlink ref="C17" r:id="rId1" xr:uid="{F9147D3B-CF5A-A346-A0A7-D7330816C68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9F6F2-A839-9F4A-A131-E7A3A2886178}">
  <dimension ref="A1:D24"/>
  <sheetViews>
    <sheetView workbookViewId="0">
      <selection activeCell="D2" sqref="D2:D24"/>
    </sheetView>
  </sheetViews>
  <sheetFormatPr baseColWidth="10" defaultColWidth="10.6640625" defaultRowHeight="16" x14ac:dyDescent="0.2"/>
  <cols>
    <col min="1" max="1" width="10.83203125" customWidth="1"/>
    <col min="2" max="2" width="22.5" customWidth="1"/>
    <col min="3" max="3" width="23.83203125" customWidth="1"/>
    <col min="4" max="4" width="22.83203125" customWidth="1"/>
  </cols>
  <sheetData>
    <row r="1" spans="1:4" ht="68" x14ac:dyDescent="0.2">
      <c r="A1" s="14" t="s">
        <v>16</v>
      </c>
      <c r="B1" s="16" t="s">
        <v>21</v>
      </c>
      <c r="C1" s="14" t="s">
        <v>139</v>
      </c>
      <c r="D1" s="14" t="s">
        <v>22</v>
      </c>
    </row>
    <row r="2" spans="1:4" x14ac:dyDescent="0.2">
      <c r="A2" s="18" t="s">
        <v>28</v>
      </c>
      <c r="B2" s="18" t="s">
        <v>32</v>
      </c>
      <c r="C2" s="18" t="s">
        <v>30</v>
      </c>
      <c r="D2" s="18" t="s">
        <v>81</v>
      </c>
    </row>
    <row r="3" spans="1:4" x14ac:dyDescent="0.2">
      <c r="A3" s="18" t="s">
        <v>37</v>
      </c>
      <c r="B3" s="18" t="s">
        <v>29</v>
      </c>
      <c r="C3" t="s">
        <v>70</v>
      </c>
      <c r="D3" s="18" t="s">
        <v>31</v>
      </c>
    </row>
    <row r="4" spans="1:4" x14ac:dyDescent="0.2">
      <c r="B4" s="18" t="s">
        <v>33</v>
      </c>
      <c r="C4" s="18" t="s">
        <v>53</v>
      </c>
      <c r="D4" s="18" t="s">
        <v>35</v>
      </c>
    </row>
    <row r="5" spans="1:4" x14ac:dyDescent="0.2">
      <c r="B5" s="18" t="s">
        <v>36</v>
      </c>
      <c r="C5" s="18" t="s">
        <v>39</v>
      </c>
      <c r="D5" t="s">
        <v>84</v>
      </c>
    </row>
    <row r="6" spans="1:4" x14ac:dyDescent="0.2">
      <c r="B6" s="18" t="s">
        <v>179</v>
      </c>
      <c r="C6" t="s">
        <v>43</v>
      </c>
      <c r="D6" t="s">
        <v>85</v>
      </c>
    </row>
    <row r="7" spans="1:4" x14ac:dyDescent="0.2">
      <c r="C7" s="18" t="s">
        <v>38</v>
      </c>
      <c r="D7" s="18" t="s">
        <v>66</v>
      </c>
    </row>
    <row r="8" spans="1:4" x14ac:dyDescent="0.2">
      <c r="C8" s="18" t="s">
        <v>41</v>
      </c>
      <c r="D8" s="18" t="s">
        <v>49</v>
      </c>
    </row>
    <row r="9" spans="1:4" x14ac:dyDescent="0.2">
      <c r="C9" t="s">
        <v>61</v>
      </c>
      <c r="D9" s="18" t="s">
        <v>166</v>
      </c>
    </row>
    <row r="10" spans="1:4" x14ac:dyDescent="0.2">
      <c r="C10" t="s">
        <v>71</v>
      </c>
      <c r="D10" s="18" t="s">
        <v>40</v>
      </c>
    </row>
    <row r="11" spans="1:4" x14ac:dyDescent="0.2">
      <c r="C11" s="18" t="s">
        <v>63</v>
      </c>
      <c r="D11" s="18" t="s">
        <v>56</v>
      </c>
    </row>
    <row r="12" spans="1:4" x14ac:dyDescent="0.2">
      <c r="C12" s="18" t="s">
        <v>51</v>
      </c>
      <c r="D12" s="18" t="s">
        <v>48</v>
      </c>
    </row>
    <row r="13" spans="1:4" x14ac:dyDescent="0.2">
      <c r="C13" s="18" t="s">
        <v>62</v>
      </c>
      <c r="D13" s="18" t="s">
        <v>42</v>
      </c>
    </row>
    <row r="14" spans="1:4" x14ac:dyDescent="0.2">
      <c r="C14" s="18" t="s">
        <v>116</v>
      </c>
      <c r="D14" s="18" t="s">
        <v>44</v>
      </c>
    </row>
    <row r="15" spans="1:4" x14ac:dyDescent="0.2">
      <c r="D15" s="18" t="s">
        <v>64</v>
      </c>
    </row>
    <row r="16" spans="1:4" x14ac:dyDescent="0.2">
      <c r="D16" s="18" t="s">
        <v>45</v>
      </c>
    </row>
    <row r="17" spans="4:4" x14ac:dyDescent="0.2">
      <c r="D17" s="18" t="s">
        <v>54</v>
      </c>
    </row>
    <row r="18" spans="4:4" x14ac:dyDescent="0.2">
      <c r="D18" s="18" t="s">
        <v>57</v>
      </c>
    </row>
    <row r="19" spans="4:4" x14ac:dyDescent="0.2">
      <c r="D19" s="18" t="s">
        <v>46</v>
      </c>
    </row>
    <row r="20" spans="4:4" x14ac:dyDescent="0.2">
      <c r="D20" s="18" t="s">
        <v>50</v>
      </c>
    </row>
    <row r="21" spans="4:4" x14ac:dyDescent="0.2">
      <c r="D21" s="18" t="s">
        <v>65</v>
      </c>
    </row>
    <row r="22" spans="4:4" x14ac:dyDescent="0.2">
      <c r="D22" s="18" t="s">
        <v>83</v>
      </c>
    </row>
    <row r="23" spans="4:4" x14ac:dyDescent="0.2">
      <c r="D23" s="18" t="s">
        <v>34</v>
      </c>
    </row>
    <row r="24" spans="4:4" x14ac:dyDescent="0.2">
      <c r="D24" s="18" t="s">
        <v>82</v>
      </c>
    </row>
  </sheetData>
  <sortState xmlns:xlrd2="http://schemas.microsoft.com/office/spreadsheetml/2017/richdata2" ref="C3:C13">
    <sortCondition ref="C3:C13"/>
  </sortState>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1F5CEF81-5F48-C349-B3BC-A8B58745A545}">
            <xm:f>AND(NOT(ISBLANK(A1)), ISNA(MATCH(A1, 'Original Column Values'!A:A, 0)))</xm:f>
            <x14:dxf>
              <font>
                <color rgb="FF9C0006"/>
              </font>
              <fill>
                <patternFill>
                  <bgColor rgb="FFFFC7CE"/>
                </patternFill>
              </fill>
            </x14:dxf>
          </x14:cfRule>
          <xm:sqref>A1:D1048576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FEB13-B769-A049-8C0E-C303BE648CBD}">
  <dimension ref="A1:B15"/>
  <sheetViews>
    <sheetView workbookViewId="0">
      <selection activeCell="B16" sqref="B16"/>
    </sheetView>
  </sheetViews>
  <sheetFormatPr baseColWidth="10" defaultRowHeight="16" x14ac:dyDescent="0.2"/>
  <cols>
    <col min="2" max="2" width="124.1640625" style="72" bestFit="1" customWidth="1"/>
  </cols>
  <sheetData>
    <row r="1" spans="1:2" ht="24" x14ac:dyDescent="0.3">
      <c r="A1" s="73" t="s">
        <v>207</v>
      </c>
    </row>
    <row r="3" spans="1:2" x14ac:dyDescent="0.2">
      <c r="A3" t="s">
        <v>206</v>
      </c>
    </row>
    <row r="4" spans="1:2" ht="17" x14ac:dyDescent="0.2">
      <c r="B4" s="72" t="s">
        <v>205</v>
      </c>
    </row>
    <row r="5" spans="1:2" ht="17" x14ac:dyDescent="0.2">
      <c r="B5" s="72" t="s">
        <v>204</v>
      </c>
    </row>
    <row r="6" spans="1:2" ht="17" x14ac:dyDescent="0.2">
      <c r="B6" s="72" t="s">
        <v>203</v>
      </c>
    </row>
    <row r="7" spans="1:2" ht="17" x14ac:dyDescent="0.2">
      <c r="B7" s="72" t="s">
        <v>202</v>
      </c>
    </row>
    <row r="9" spans="1:2" x14ac:dyDescent="0.2">
      <c r="A9" t="s">
        <v>201</v>
      </c>
    </row>
    <row r="10" spans="1:2" ht="17" x14ac:dyDescent="0.2">
      <c r="B10" s="72" t="s">
        <v>200</v>
      </c>
    </row>
    <row r="13" spans="1:2" x14ac:dyDescent="0.2">
      <c r="A13" t="s">
        <v>199</v>
      </c>
    </row>
    <row r="14" spans="1:2" ht="17" x14ac:dyDescent="0.2">
      <c r="B14" s="72" t="s">
        <v>198</v>
      </c>
    </row>
    <row r="15" spans="1:2" ht="34" x14ac:dyDescent="0.2">
      <c r="B15" s="72" t="s">
        <v>197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C1EC0-7E09-4C4C-8AD5-AF9C4D8E78A0}">
  <dimension ref="A1:C54"/>
  <sheetViews>
    <sheetView workbookViewId="0">
      <pane ySplit="1" topLeftCell="A48" activePane="bottomLeft" state="frozen"/>
      <selection pane="bottomLeft" activeCell="C54" sqref="C54"/>
    </sheetView>
  </sheetViews>
  <sheetFormatPr baseColWidth="10" defaultColWidth="10.83203125" defaultRowHeight="16" x14ac:dyDescent="0.2"/>
  <cols>
    <col min="1" max="1" width="10.5" style="28" bestFit="1" customWidth="1"/>
    <col min="2" max="2" width="15.33203125" style="1" bestFit="1" customWidth="1"/>
    <col min="3" max="3" width="58.83203125" style="30" customWidth="1"/>
    <col min="4" max="16384" width="10.83203125" style="1"/>
  </cols>
  <sheetData>
    <row r="1" spans="1:3" ht="17" x14ac:dyDescent="0.2">
      <c r="A1" s="25" t="s">
        <v>88</v>
      </c>
      <c r="B1" s="26" t="s">
        <v>89</v>
      </c>
      <c r="C1" s="27" t="s">
        <v>90</v>
      </c>
    </row>
    <row r="2" spans="1:3" ht="17" x14ac:dyDescent="0.2">
      <c r="A2" s="28">
        <v>45538</v>
      </c>
      <c r="B2" s="29" t="s">
        <v>91</v>
      </c>
      <c r="C2" s="30" t="s">
        <v>96</v>
      </c>
    </row>
    <row r="3" spans="1:3" ht="17" x14ac:dyDescent="0.2">
      <c r="B3" s="29"/>
      <c r="C3" s="30" t="s">
        <v>104</v>
      </c>
    </row>
    <row r="4" spans="1:3" ht="17" x14ac:dyDescent="0.2">
      <c r="B4" s="29"/>
      <c r="C4" s="30" t="s">
        <v>101</v>
      </c>
    </row>
    <row r="5" spans="1:3" ht="17" x14ac:dyDescent="0.2">
      <c r="C5" s="30" t="s">
        <v>100</v>
      </c>
    </row>
    <row r="6" spans="1:3" ht="17" x14ac:dyDescent="0.2">
      <c r="C6" s="30" t="s">
        <v>99</v>
      </c>
    </row>
    <row r="7" spans="1:3" ht="34" x14ac:dyDescent="0.2">
      <c r="C7" s="30" t="s">
        <v>102</v>
      </c>
    </row>
    <row r="8" spans="1:3" ht="17" x14ac:dyDescent="0.2">
      <c r="C8" s="30" t="s">
        <v>103</v>
      </c>
    </row>
    <row r="9" spans="1:3" ht="34" x14ac:dyDescent="0.2">
      <c r="A9" s="28">
        <v>45540</v>
      </c>
      <c r="B9" s="29" t="s">
        <v>91</v>
      </c>
      <c r="C9" s="30" t="s">
        <v>107</v>
      </c>
    </row>
    <row r="10" spans="1:3" ht="17" x14ac:dyDescent="0.2">
      <c r="A10" s="28">
        <v>45540</v>
      </c>
      <c r="B10" s="29" t="s">
        <v>91</v>
      </c>
      <c r="C10" s="30" t="s">
        <v>105</v>
      </c>
    </row>
    <row r="11" spans="1:3" ht="34" x14ac:dyDescent="0.2">
      <c r="C11" s="30" t="s">
        <v>106</v>
      </c>
    </row>
    <row r="12" spans="1:3" ht="17" x14ac:dyDescent="0.2">
      <c r="A12" s="28">
        <v>45541</v>
      </c>
      <c r="B12" s="29" t="s">
        <v>91</v>
      </c>
      <c r="C12" s="30" t="s">
        <v>108</v>
      </c>
    </row>
    <row r="13" spans="1:3" ht="34" x14ac:dyDescent="0.2">
      <c r="A13" s="28">
        <v>45541</v>
      </c>
      <c r="B13" s="29" t="s">
        <v>91</v>
      </c>
      <c r="C13" s="30" t="s">
        <v>111</v>
      </c>
    </row>
    <row r="14" spans="1:3" ht="17" x14ac:dyDescent="0.2">
      <c r="A14" s="28">
        <v>45541</v>
      </c>
      <c r="B14" s="29" t="s">
        <v>91</v>
      </c>
      <c r="C14" s="30" t="s">
        <v>112</v>
      </c>
    </row>
    <row r="15" spans="1:3" ht="85" x14ac:dyDescent="0.2">
      <c r="A15" s="28">
        <v>45541</v>
      </c>
      <c r="B15" s="29" t="s">
        <v>91</v>
      </c>
      <c r="C15" s="30" t="s">
        <v>113</v>
      </c>
    </row>
    <row r="16" spans="1:3" ht="34" x14ac:dyDescent="0.2">
      <c r="A16" s="28">
        <v>45544</v>
      </c>
      <c r="B16" s="29" t="s">
        <v>91</v>
      </c>
      <c r="C16" s="30" t="s">
        <v>114</v>
      </c>
    </row>
    <row r="17" spans="1:3" ht="51" x14ac:dyDescent="0.2">
      <c r="A17" s="28">
        <v>45544</v>
      </c>
      <c r="B17" s="29" t="s">
        <v>91</v>
      </c>
      <c r="C17" s="30" t="s">
        <v>115</v>
      </c>
    </row>
    <row r="18" spans="1:3" ht="68" x14ac:dyDescent="0.2">
      <c r="A18" s="28">
        <v>45547</v>
      </c>
      <c r="B18" s="29" t="s">
        <v>91</v>
      </c>
      <c r="C18" s="30" t="s">
        <v>117</v>
      </c>
    </row>
    <row r="19" spans="1:3" ht="153" x14ac:dyDescent="0.2">
      <c r="A19" s="28">
        <v>45551</v>
      </c>
      <c r="B19" s="29" t="s">
        <v>91</v>
      </c>
      <c r="C19" s="30" t="s">
        <v>118</v>
      </c>
    </row>
    <row r="20" spans="1:3" ht="68" x14ac:dyDescent="0.2">
      <c r="A20" s="28">
        <v>45723</v>
      </c>
      <c r="B20" s="29" t="s">
        <v>91</v>
      </c>
      <c r="C20" s="30" t="s">
        <v>165</v>
      </c>
    </row>
    <row r="21" spans="1:3" ht="34" x14ac:dyDescent="0.2">
      <c r="A21" s="28">
        <v>45722</v>
      </c>
      <c r="B21" s="29" t="s">
        <v>91</v>
      </c>
      <c r="C21" s="30" t="s">
        <v>164</v>
      </c>
    </row>
    <row r="22" spans="1:3" ht="17" x14ac:dyDescent="0.2">
      <c r="A22" s="28">
        <v>45719</v>
      </c>
      <c r="B22" s="29" t="s">
        <v>91</v>
      </c>
      <c r="C22" s="30" t="s">
        <v>162</v>
      </c>
    </row>
    <row r="23" spans="1:3" ht="17" x14ac:dyDescent="0.2">
      <c r="A23" s="28">
        <v>45716</v>
      </c>
      <c r="B23" s="29" t="s">
        <v>153</v>
      </c>
      <c r="C23" s="30" t="s">
        <v>163</v>
      </c>
    </row>
    <row r="24" spans="1:3" ht="34" x14ac:dyDescent="0.2">
      <c r="A24" s="28">
        <v>45611</v>
      </c>
      <c r="B24" s="29" t="s">
        <v>91</v>
      </c>
      <c r="C24" s="30" t="s">
        <v>138</v>
      </c>
    </row>
    <row r="25" spans="1:3" ht="51" x14ac:dyDescent="0.2">
      <c r="A25" s="28">
        <v>45611</v>
      </c>
      <c r="B25" s="29" t="s">
        <v>91</v>
      </c>
      <c r="C25" s="30" t="s">
        <v>140</v>
      </c>
    </row>
    <row r="26" spans="1:3" ht="17" x14ac:dyDescent="0.2">
      <c r="A26" s="28">
        <v>45602</v>
      </c>
      <c r="B26" s="1" t="s">
        <v>126</v>
      </c>
      <c r="C26" s="30" t="s">
        <v>128</v>
      </c>
    </row>
    <row r="27" spans="1:3" ht="34" x14ac:dyDescent="0.2">
      <c r="A27" s="28">
        <v>45595</v>
      </c>
      <c r="B27" s="1" t="s">
        <v>126</v>
      </c>
      <c r="C27" s="30" t="s">
        <v>127</v>
      </c>
    </row>
    <row r="28" spans="1:3" ht="34" x14ac:dyDescent="0.2">
      <c r="A28" s="28">
        <v>45554</v>
      </c>
      <c r="B28" s="29" t="s">
        <v>91</v>
      </c>
      <c r="C28" s="30" t="s">
        <v>125</v>
      </c>
    </row>
    <row r="29" spans="1:3" ht="17" x14ac:dyDescent="0.2">
      <c r="A29" s="28">
        <v>45553</v>
      </c>
      <c r="B29" s="29" t="s">
        <v>91</v>
      </c>
      <c r="C29" s="30" t="s">
        <v>119</v>
      </c>
    </row>
    <row r="30" spans="1:3" ht="34" x14ac:dyDescent="0.2">
      <c r="A30" s="28">
        <v>45553</v>
      </c>
      <c r="B30" s="29" t="s">
        <v>91</v>
      </c>
      <c r="C30" s="30" t="s">
        <v>120</v>
      </c>
    </row>
    <row r="31" spans="1:3" ht="34" x14ac:dyDescent="0.2">
      <c r="A31" s="28">
        <v>45553</v>
      </c>
      <c r="B31" s="29" t="s">
        <v>91</v>
      </c>
      <c r="C31" s="30" t="s">
        <v>121</v>
      </c>
    </row>
    <row r="33" spans="1:3" ht="51" x14ac:dyDescent="0.2">
      <c r="A33" s="28">
        <v>45750</v>
      </c>
      <c r="B33" s="1" t="s">
        <v>126</v>
      </c>
      <c r="C33" s="30" t="s">
        <v>167</v>
      </c>
    </row>
    <row r="34" spans="1:3" ht="17" x14ac:dyDescent="0.2">
      <c r="A34" s="28">
        <v>45750</v>
      </c>
      <c r="B34" s="1" t="s">
        <v>126</v>
      </c>
      <c r="C34" s="30" t="s">
        <v>168</v>
      </c>
    </row>
    <row r="35" spans="1:3" ht="17" x14ac:dyDescent="0.2">
      <c r="C35" s="30" t="s">
        <v>169</v>
      </c>
    </row>
    <row r="36" spans="1:3" ht="34" x14ac:dyDescent="0.2">
      <c r="C36" s="30" t="s">
        <v>170</v>
      </c>
    </row>
    <row r="37" spans="1:3" ht="34" x14ac:dyDescent="0.2">
      <c r="C37" s="30" t="s">
        <v>171</v>
      </c>
    </row>
    <row r="38" spans="1:3" ht="34" x14ac:dyDescent="0.2">
      <c r="A38" s="28">
        <v>45763</v>
      </c>
      <c r="B38" s="1" t="s">
        <v>126</v>
      </c>
      <c r="C38" s="30" t="s">
        <v>174</v>
      </c>
    </row>
    <row r="39" spans="1:3" ht="17" x14ac:dyDescent="0.2">
      <c r="C39" s="30" t="s">
        <v>173</v>
      </c>
    </row>
    <row r="40" spans="1:3" ht="17" x14ac:dyDescent="0.2">
      <c r="C40" s="30" t="s">
        <v>175</v>
      </c>
    </row>
    <row r="41" spans="1:3" ht="17" x14ac:dyDescent="0.2">
      <c r="A41" s="28">
        <v>45798</v>
      </c>
      <c r="B41" s="1" t="s">
        <v>126</v>
      </c>
      <c r="C41" s="30" t="s">
        <v>176</v>
      </c>
    </row>
    <row r="42" spans="1:3" ht="17" x14ac:dyDescent="0.2">
      <c r="A42" s="28">
        <v>45803</v>
      </c>
      <c r="B42" s="1" t="s">
        <v>126</v>
      </c>
      <c r="C42" s="30" t="s">
        <v>177</v>
      </c>
    </row>
    <row r="43" spans="1:3" ht="34" x14ac:dyDescent="0.2">
      <c r="A43" s="28">
        <v>45860</v>
      </c>
      <c r="B43" s="1" t="s">
        <v>126</v>
      </c>
      <c r="C43" s="30" t="s">
        <v>178</v>
      </c>
    </row>
    <row r="44" spans="1:3" ht="17" x14ac:dyDescent="0.2">
      <c r="A44" s="28">
        <v>45943</v>
      </c>
      <c r="B44" s="1" t="s">
        <v>126</v>
      </c>
      <c r="C44" s="30" t="s">
        <v>180</v>
      </c>
    </row>
    <row r="45" spans="1:3" ht="34" x14ac:dyDescent="0.2">
      <c r="A45" s="28">
        <v>45943</v>
      </c>
      <c r="B45" s="1" t="s">
        <v>126</v>
      </c>
      <c r="C45" s="30" t="s">
        <v>181</v>
      </c>
    </row>
    <row r="46" spans="1:3" ht="34" x14ac:dyDescent="0.2">
      <c r="A46" s="28">
        <v>45943</v>
      </c>
      <c r="B46" s="1" t="s">
        <v>126</v>
      </c>
      <c r="C46" s="30" t="s">
        <v>182</v>
      </c>
    </row>
    <row r="47" spans="1:3" ht="68" x14ac:dyDescent="0.2">
      <c r="A47" s="28">
        <v>45944</v>
      </c>
      <c r="B47" s="29" t="s">
        <v>91</v>
      </c>
      <c r="C47" s="30" t="s">
        <v>183</v>
      </c>
    </row>
    <row r="48" spans="1:3" ht="68" x14ac:dyDescent="0.2">
      <c r="A48" s="28">
        <v>45952</v>
      </c>
      <c r="B48" s="29" t="s">
        <v>91</v>
      </c>
      <c r="C48" s="30" t="s">
        <v>190</v>
      </c>
    </row>
    <row r="49" spans="1:3" ht="85" x14ac:dyDescent="0.2">
      <c r="A49" s="28">
        <v>45954</v>
      </c>
      <c r="B49" s="29" t="s">
        <v>91</v>
      </c>
      <c r="C49" s="30" t="s">
        <v>192</v>
      </c>
    </row>
    <row r="50" spans="1:3" ht="51" x14ac:dyDescent="0.2">
      <c r="A50" s="28">
        <v>46036</v>
      </c>
      <c r="B50" s="1" t="s">
        <v>126</v>
      </c>
      <c r="C50" s="30" t="s">
        <v>193</v>
      </c>
    </row>
    <row r="51" spans="1:3" ht="34" x14ac:dyDescent="0.2">
      <c r="A51" s="28">
        <v>46055</v>
      </c>
      <c r="B51" s="1" t="s">
        <v>126</v>
      </c>
      <c r="C51" s="30" t="s">
        <v>194</v>
      </c>
    </row>
    <row r="52" spans="1:3" ht="34" x14ac:dyDescent="0.2">
      <c r="A52" s="28">
        <v>46055</v>
      </c>
      <c r="B52" s="1" t="s">
        <v>126</v>
      </c>
      <c r="C52" s="30" t="s">
        <v>195</v>
      </c>
    </row>
    <row r="53" spans="1:3" ht="17" x14ac:dyDescent="0.2">
      <c r="A53" s="28">
        <v>46055</v>
      </c>
      <c r="B53" s="1" t="s">
        <v>126</v>
      </c>
      <c r="C53" s="30" t="s">
        <v>196</v>
      </c>
    </row>
    <row r="54" spans="1:3" ht="34" x14ac:dyDescent="0.2">
      <c r="A54" s="28">
        <v>46080</v>
      </c>
      <c r="B54" s="29" t="s">
        <v>91</v>
      </c>
      <c r="C54" s="30" t="s">
        <v>211</v>
      </c>
    </row>
  </sheetData>
  <sortState xmlns:xlrd2="http://schemas.microsoft.com/office/spreadsheetml/2017/richdata2" ref="A23:C31">
    <sortCondition descending="1" ref="A23:A31"/>
  </sortState>
  <hyperlinks>
    <hyperlink ref="B2" r:id="rId1" xr:uid="{9952930D-B212-6441-B535-FD0A8C88BC06}"/>
    <hyperlink ref="B10" r:id="rId2" xr:uid="{04CA9A80-84C7-3548-8BA8-A1AEC936D52B}"/>
    <hyperlink ref="B12" r:id="rId3" xr:uid="{6AB28F3B-CB87-C149-BE3F-D5473B934E14}"/>
    <hyperlink ref="B9" r:id="rId4" xr:uid="{783A8C35-7CFD-3D43-829C-433811E4F29A}"/>
    <hyperlink ref="B13" r:id="rId5" xr:uid="{01F7510A-FA40-2947-A1A9-C95B1A5D0BE1}"/>
    <hyperlink ref="B14" r:id="rId6" xr:uid="{85154BB4-D36D-AE43-A250-89532DBA205D}"/>
    <hyperlink ref="B15" r:id="rId7" xr:uid="{C57D875E-37F6-304C-84BE-C07B995C1168}"/>
    <hyperlink ref="B16" r:id="rId8" xr:uid="{6F7C1D63-1CDD-A842-887C-252658BBF2CC}"/>
    <hyperlink ref="B17" r:id="rId9" xr:uid="{9F2B126C-246C-F94A-ACAD-098DFA6BF352}"/>
    <hyperlink ref="B18" r:id="rId10" xr:uid="{5B7F4ED8-3F85-5E4F-8867-6E814A17113E}"/>
    <hyperlink ref="B19" r:id="rId11" xr:uid="{21F42D55-3657-BD48-9A59-84AFDF0488CC}"/>
    <hyperlink ref="B29" r:id="rId12" xr:uid="{8F1980F7-04B6-F948-AA2B-62B05F6105A1}"/>
    <hyperlink ref="B30" r:id="rId13" xr:uid="{5FA18D50-5E94-B942-B968-0BC882BE7B6A}"/>
    <hyperlink ref="B31" r:id="rId14" xr:uid="{530EF512-A452-F04A-A1A6-0D6CC0F7FA3F}"/>
    <hyperlink ref="B28" r:id="rId15" xr:uid="{A6D756B4-1C1A-9241-87F9-5CD6937C6D4B}"/>
    <hyperlink ref="B24" r:id="rId16" xr:uid="{399D6554-5E51-EE49-9B4E-2229C178BAFB}"/>
    <hyperlink ref="B25" r:id="rId17" xr:uid="{670B135F-5A48-E44C-8F4D-58244FED0B93}"/>
    <hyperlink ref="B23" r:id="rId18" xr:uid="{558D76AC-B64F-5244-9C0D-FF45F68E1E33}"/>
    <hyperlink ref="B22" r:id="rId19" xr:uid="{6F587698-0AD7-294C-BF92-8E9645727282}"/>
    <hyperlink ref="B20" r:id="rId20" xr:uid="{93BA5CAA-09B5-C647-9033-5D0C42D54688}"/>
    <hyperlink ref="B21" r:id="rId21" xr:uid="{4766C2E4-00D9-2441-AD13-700C0101FCCB}"/>
    <hyperlink ref="B47" r:id="rId22" xr:uid="{2144A4C4-161A-0F44-82C6-DFD80C63E4D6}"/>
    <hyperlink ref="B48" r:id="rId23" xr:uid="{5FA94B3C-AED6-F644-95FA-479A082BC4C6}"/>
    <hyperlink ref="B49" r:id="rId24" xr:uid="{0186602F-25FC-D34A-81B1-2EFAC87DEDB8}"/>
    <hyperlink ref="B54" r:id="rId25" xr:uid="{2ADF093F-FAA3-7C49-86EF-B506EC4355B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066F8-BCA6-E345-9CB7-F9B9C4221CF9}">
  <dimension ref="A1:GS2"/>
  <sheetViews>
    <sheetView tabSelected="1" zoomScaleNormal="100" workbookViewId="0">
      <pane xSplit="3" ySplit="1" topLeftCell="D2" activePane="bottomRight" state="frozen"/>
      <selection pane="topRight" activeCell="C1" sqref="C1"/>
      <selection pane="bottomLeft" activeCell="A2" sqref="A2"/>
      <selection pane="bottomRight" activeCell="A3" sqref="A3:XFD17926"/>
    </sheetView>
  </sheetViews>
  <sheetFormatPr baseColWidth="10" defaultColWidth="10.6640625" defaultRowHeight="16" x14ac:dyDescent="0.2"/>
  <cols>
    <col min="1" max="1" width="14" bestFit="1" customWidth="1"/>
    <col min="2" max="3" width="9.5" customWidth="1"/>
    <col min="4" max="4" width="13" style="66" customWidth="1"/>
    <col min="5" max="5" width="14" style="66" customWidth="1"/>
    <col min="6" max="6" width="15" style="66" customWidth="1"/>
    <col min="7" max="7" width="14.6640625" style="66" customWidth="1"/>
    <col min="8" max="8" width="16.33203125" style="66" customWidth="1"/>
    <col min="9" max="9" width="15.33203125" style="66" customWidth="1"/>
    <col min="10" max="10" width="17.6640625" style="66" customWidth="1"/>
    <col min="11" max="11" width="13.1640625" style="66" customWidth="1"/>
    <col min="12" max="12" width="17" style="66" customWidth="1"/>
    <col min="13" max="13" width="17.6640625" style="66" customWidth="1"/>
    <col min="14" max="14" width="19.5" style="66" customWidth="1"/>
    <col min="15" max="15" width="22.1640625" style="66" customWidth="1"/>
    <col min="16" max="16" width="23.83203125" style="66" customWidth="1"/>
    <col min="17" max="17" width="14.1640625" style="66" customWidth="1"/>
    <col min="18" max="18" width="40.5" style="66" bestFit="1" customWidth="1"/>
    <col min="19" max="19" width="14.5" style="33" bestFit="1" customWidth="1"/>
    <col min="20" max="20" width="25" bestFit="1" customWidth="1"/>
    <col min="21" max="21" width="80.83203125" customWidth="1"/>
    <col min="22" max="22" width="28.83203125" bestFit="1" customWidth="1"/>
    <col min="23" max="23" width="43.1640625" customWidth="1"/>
    <col min="24" max="24" width="79.6640625" customWidth="1"/>
    <col min="25" max="25" width="14.5" customWidth="1"/>
    <col min="26" max="26" width="22.5" bestFit="1" customWidth="1"/>
    <col min="27" max="27" width="18.83203125" bestFit="1" customWidth="1"/>
    <col min="28" max="28" width="22.83203125" style="33" customWidth="1"/>
    <col min="29" max="29" width="18.83203125" customWidth="1"/>
    <col min="30" max="30" width="22.83203125" bestFit="1" customWidth="1"/>
    <col min="31" max="31" width="15.5" bestFit="1" customWidth="1"/>
    <col min="32" max="32" width="22.1640625" bestFit="1" customWidth="1"/>
    <col min="33" max="35" width="18.5" customWidth="1"/>
    <col min="36" max="36" width="14.83203125" bestFit="1" customWidth="1"/>
    <col min="37" max="37" width="10.5" bestFit="1" customWidth="1"/>
    <col min="53" max="53" width="10.6640625" style="24"/>
    <col min="62" max="62" width="10.83203125" style="24"/>
    <col min="64" max="67" width="10.83203125" style="24"/>
  </cols>
  <sheetData>
    <row r="1" spans="1:201" ht="41" customHeight="1" x14ac:dyDescent="0.2">
      <c r="A1" s="14" t="s">
        <v>87</v>
      </c>
      <c r="B1" s="14" t="s">
        <v>77</v>
      </c>
      <c r="C1" s="14" t="s">
        <v>0</v>
      </c>
      <c r="D1" s="14" t="s">
        <v>1</v>
      </c>
      <c r="E1" s="14" t="s">
        <v>2</v>
      </c>
      <c r="F1" s="14" t="s">
        <v>3</v>
      </c>
      <c r="G1" s="14" t="s">
        <v>4</v>
      </c>
      <c r="H1" s="14" t="s">
        <v>5</v>
      </c>
      <c r="I1" s="14" t="s">
        <v>6</v>
      </c>
      <c r="J1" s="14" t="s">
        <v>7</v>
      </c>
      <c r="K1" s="14" t="s">
        <v>8</v>
      </c>
      <c r="L1" s="14" t="s">
        <v>9</v>
      </c>
      <c r="M1" s="14" t="s">
        <v>10</v>
      </c>
      <c r="N1" s="14" t="s">
        <v>11</v>
      </c>
      <c r="O1" s="14" t="s">
        <v>12</v>
      </c>
      <c r="P1" s="14" t="s">
        <v>13</v>
      </c>
      <c r="Q1" s="14" t="s">
        <v>14</v>
      </c>
      <c r="R1" s="14" t="s">
        <v>15</v>
      </c>
      <c r="S1" s="14" t="s">
        <v>154</v>
      </c>
      <c r="T1" s="14" t="s">
        <v>16</v>
      </c>
      <c r="U1" s="14" t="s">
        <v>17</v>
      </c>
      <c r="V1" s="14" t="s">
        <v>18</v>
      </c>
      <c r="W1" s="14" t="s">
        <v>19</v>
      </c>
      <c r="X1" s="15" t="s">
        <v>20</v>
      </c>
      <c r="Y1" s="16" t="s">
        <v>21</v>
      </c>
      <c r="Z1" s="14" t="s">
        <v>139</v>
      </c>
      <c r="AA1" s="14" t="s">
        <v>22</v>
      </c>
      <c r="AB1" s="34" t="s">
        <v>109</v>
      </c>
      <c r="AC1" s="20" t="s">
        <v>110</v>
      </c>
      <c r="AD1" s="20" t="s">
        <v>92</v>
      </c>
      <c r="AE1" s="20" t="s">
        <v>93</v>
      </c>
      <c r="AF1" s="20" t="s">
        <v>94</v>
      </c>
      <c r="AG1" s="20" t="s">
        <v>95</v>
      </c>
      <c r="AH1" s="19" t="s">
        <v>97</v>
      </c>
      <c r="AI1" s="19" t="s">
        <v>98</v>
      </c>
      <c r="AJ1" s="21" t="str">
        <f t="shared" ref="AJ1:BA1" si="0">B1</f>
        <v>Species Sort</v>
      </c>
      <c r="AK1" s="21" t="str">
        <f t="shared" si="0"/>
        <v>Isolate Sort</v>
      </c>
      <c r="AL1" s="21" t="str">
        <f t="shared" si="0"/>
        <v>Realm</v>
      </c>
      <c r="AM1" s="21" t="str">
        <f t="shared" si="0"/>
        <v>Subrealm</v>
      </c>
      <c r="AN1" s="21" t="str">
        <f t="shared" si="0"/>
        <v>Kingdom</v>
      </c>
      <c r="AO1" s="21" t="str">
        <f t="shared" si="0"/>
        <v>Subkingdom</v>
      </c>
      <c r="AP1" s="21" t="str">
        <f t="shared" si="0"/>
        <v>Phylum</v>
      </c>
      <c r="AQ1" s="21" t="str">
        <f t="shared" si="0"/>
        <v>Subphylum</v>
      </c>
      <c r="AR1" s="21" t="str">
        <f t="shared" si="0"/>
        <v>Class</v>
      </c>
      <c r="AS1" s="21" t="str">
        <f t="shared" si="0"/>
        <v>Subclass</v>
      </c>
      <c r="AT1" s="21" t="str">
        <f t="shared" si="0"/>
        <v>Order</v>
      </c>
      <c r="AU1" s="21" t="str">
        <f t="shared" si="0"/>
        <v>Suborder</v>
      </c>
      <c r="AV1" s="21" t="str">
        <f t="shared" si="0"/>
        <v>Family</v>
      </c>
      <c r="AW1" s="21" t="str">
        <f t="shared" si="0"/>
        <v>Subfamily</v>
      </c>
      <c r="AX1" s="21" t="str">
        <f t="shared" si="0"/>
        <v>Genus</v>
      </c>
      <c r="AY1" s="21" t="str">
        <f t="shared" si="0"/>
        <v>Subgenus</v>
      </c>
      <c r="AZ1" s="21" t="str">
        <f t="shared" si="0"/>
        <v>Species</v>
      </c>
      <c r="BA1" s="31" t="str">
        <f t="shared" si="0"/>
        <v>ICTV_ID</v>
      </c>
      <c r="BB1" s="21" t="str">
        <f t="shared" ref="BB1:BO1" si="1">T1</f>
        <v>Exemplar or additional isolate</v>
      </c>
      <c r="BC1" s="21" t="str">
        <f t="shared" si="1"/>
        <v>Virus name(s)</v>
      </c>
      <c r="BD1" s="21" t="str">
        <f t="shared" si="1"/>
        <v>Virus name abbreviation(s)</v>
      </c>
      <c r="BE1" s="21" t="str">
        <f t="shared" si="1"/>
        <v>Virus isolate designation</v>
      </c>
      <c r="BF1" s="21" t="str">
        <f t="shared" si="1"/>
        <v>Virus GENBANK accession</v>
      </c>
      <c r="BG1" s="21" t="str">
        <f t="shared" si="1"/>
        <v>Genome coverage</v>
      </c>
      <c r="BH1" s="21" t="str">
        <f t="shared" si="1"/>
        <v>Genome</v>
      </c>
      <c r="BI1" s="21" t="str">
        <f t="shared" si="1"/>
        <v>Host source</v>
      </c>
      <c r="BJ1" s="31" t="str">
        <f t="shared" si="1"/>
        <v>Accessions Link</v>
      </c>
      <c r="BK1" s="21" t="str">
        <f t="shared" si="1"/>
        <v>Editor Notes</v>
      </c>
      <c r="BL1" s="31" t="str">
        <f t="shared" si="1"/>
        <v>QC_status</v>
      </c>
      <c r="BM1" s="31" t="str">
        <f t="shared" si="1"/>
        <v>QC_taxon_inher_molecule</v>
      </c>
      <c r="BN1" s="31" t="str">
        <f t="shared" si="1"/>
        <v>QC_taxon_change</v>
      </c>
      <c r="BO1" s="31" t="str">
        <f t="shared" si="1"/>
        <v>QC_taxon_proposal</v>
      </c>
      <c r="CT1" s="21"/>
      <c r="CU1" s="21"/>
      <c r="CV1" s="21"/>
      <c r="CW1" s="21"/>
      <c r="CX1" s="21"/>
      <c r="CY1" s="21"/>
      <c r="CZ1" s="21"/>
      <c r="DA1" s="21"/>
      <c r="DB1" s="21"/>
      <c r="DC1" s="21"/>
      <c r="DD1" s="21"/>
      <c r="DE1" s="21"/>
      <c r="DF1" s="21"/>
      <c r="DG1" s="21"/>
      <c r="DH1" s="21"/>
      <c r="DI1" s="21"/>
      <c r="DJ1" s="21"/>
      <c r="DK1" s="21"/>
      <c r="DL1" s="21"/>
      <c r="DM1" s="21"/>
      <c r="DN1" s="21"/>
      <c r="DO1" s="21"/>
      <c r="DP1" s="21"/>
      <c r="DQ1" s="21"/>
      <c r="DR1" s="21"/>
      <c r="DS1" s="21"/>
      <c r="DT1" s="21"/>
      <c r="DU1" s="21"/>
      <c r="DV1" s="21"/>
      <c r="DW1" s="21"/>
      <c r="DX1" s="21"/>
      <c r="DY1" s="21"/>
      <c r="DZ1" s="21"/>
      <c r="EA1" s="21"/>
      <c r="EB1" s="21"/>
      <c r="EC1" s="21"/>
      <c r="ED1" s="21"/>
      <c r="EE1" s="21"/>
      <c r="EF1" s="21"/>
      <c r="EG1" s="21"/>
      <c r="EH1" s="21"/>
      <c r="EI1" s="21"/>
      <c r="EJ1" s="21"/>
      <c r="EK1" s="21"/>
      <c r="EL1" s="21"/>
      <c r="EM1" s="21"/>
      <c r="EN1" s="21"/>
      <c r="EO1" s="21"/>
      <c r="EP1" s="21"/>
      <c r="EQ1" s="21"/>
      <c r="ER1" s="21"/>
      <c r="ES1" s="21"/>
      <c r="ET1" s="21"/>
      <c r="EU1" s="21"/>
      <c r="EV1" s="21"/>
      <c r="EW1" s="21"/>
      <c r="EX1" s="21"/>
      <c r="EY1" s="21"/>
      <c r="EZ1" s="21"/>
      <c r="FA1" s="21"/>
      <c r="FB1" s="21"/>
      <c r="FC1" s="21"/>
      <c r="FD1" s="21"/>
      <c r="FE1" s="21"/>
      <c r="FF1" s="21"/>
      <c r="FG1" s="21"/>
      <c r="FH1" s="21"/>
      <c r="FI1" s="21"/>
      <c r="FJ1" s="21"/>
      <c r="FK1" s="21"/>
      <c r="FL1" s="21"/>
      <c r="FM1" s="21"/>
      <c r="FN1" s="21"/>
      <c r="FO1" s="21"/>
      <c r="FP1" s="21"/>
      <c r="FQ1" s="21"/>
      <c r="FR1" s="21"/>
      <c r="FS1" s="21"/>
      <c r="FT1" s="21"/>
      <c r="FU1" s="21"/>
      <c r="FV1" s="21"/>
      <c r="FW1" s="21"/>
      <c r="FX1" s="21"/>
      <c r="FY1" s="21"/>
      <c r="FZ1" s="21"/>
      <c r="GA1" s="21"/>
      <c r="GB1" s="21"/>
      <c r="GC1" s="21"/>
      <c r="GD1" s="21"/>
      <c r="GE1" s="21"/>
      <c r="GF1" s="21"/>
      <c r="GG1" s="21"/>
      <c r="GH1" s="21"/>
      <c r="GI1" s="21"/>
      <c r="GJ1" s="21"/>
      <c r="GK1" s="21"/>
      <c r="GL1" s="21"/>
      <c r="GM1" s="21"/>
      <c r="GN1" s="21"/>
      <c r="GO1" s="21"/>
      <c r="GP1" s="21"/>
      <c r="GQ1" s="21"/>
      <c r="GR1" s="21"/>
      <c r="GS1" s="21"/>
    </row>
    <row r="2" spans="1:201" x14ac:dyDescent="0.2">
      <c r="A2" t="str">
        <f>HYPERLINK("https://ictv.global/id/VMR1028127","VMR1028127")</f>
        <v>VMR1028127</v>
      </c>
      <c r="B2">
        <v>1</v>
      </c>
      <c r="C2">
        <v>1</v>
      </c>
      <c r="D2" s="17" t="s">
        <v>23</v>
      </c>
      <c r="E2" s="17"/>
      <c r="F2" s="17" t="s">
        <v>24</v>
      </c>
      <c r="G2" s="17"/>
      <c r="H2" s="17" t="s">
        <v>25</v>
      </c>
      <c r="I2" s="17"/>
      <c r="J2" s="17" t="s">
        <v>26</v>
      </c>
      <c r="K2" s="17"/>
      <c r="L2" s="17" t="s">
        <v>27</v>
      </c>
      <c r="M2" s="17"/>
      <c r="N2" s="17" t="s">
        <v>150</v>
      </c>
      <c r="O2" s="17"/>
      <c r="P2" s="17" t="s">
        <v>151</v>
      </c>
      <c r="Q2" s="17"/>
      <c r="R2" s="17" t="s">
        <v>157</v>
      </c>
      <c r="S2" s="32" t="str">
        <f>HYPERLINK("https://ictv.global/id/ICTV202420188","ICTV202420188")</f>
        <v>ICTV202420188</v>
      </c>
      <c r="T2" s="18" t="s">
        <v>28</v>
      </c>
      <c r="U2" s="18" t="s">
        <v>172</v>
      </c>
      <c r="V2" s="18" t="s">
        <v>55</v>
      </c>
      <c r="W2" s="18"/>
      <c r="X2" s="18" t="s">
        <v>152</v>
      </c>
      <c r="Y2" s="18" t="s">
        <v>32</v>
      </c>
      <c r="Z2" s="18" t="s">
        <v>30</v>
      </c>
      <c r="AA2" s="18" t="s">
        <v>31</v>
      </c>
      <c r="AB2" s="32" t="str">
        <f>HYPERLINK("https://www.ncbi.nlm.nih.gov/nuccore/PP467602","NCBI Nucleotide")</f>
        <v>NCBI Nucleotide</v>
      </c>
      <c r="AC2" s="18"/>
      <c r="AD2" s="18"/>
      <c r="AE2" s="18" t="s">
        <v>30</v>
      </c>
      <c r="AF2" s="18" t="s">
        <v>86</v>
      </c>
      <c r="AG2" t="str">
        <f>HYPERLINK("https://ictv.global/ictv/proposals/2024.005A.Bathyarchaeia_4newfam.zip","2024.005A.Bathyarchaeia_4newfam.zip")</f>
        <v>2024.005A.Bathyarchaeia_4newfam.zip</v>
      </c>
      <c r="AH2">
        <f t="shared" ref="AH2" si="2">COUNTIF(AJ2:BO2,"?*")</f>
        <v>0</v>
      </c>
      <c r="AI2" t="str">
        <f t="shared" ref="AI2" si="3">_xlfn.TEXTJOIN(",",TRUE,AJ2:BO2)</f>
        <v/>
      </c>
      <c r="AJ2" t="str">
        <f>IF(NOT(EXACT(B2,INDEX('VMR MSL40'!B:B,MATCH($A2,'VMR MSL40'!$A:$A,0)))),AJ$1,"")</f>
        <v/>
      </c>
      <c r="AK2" t="str">
        <f>IF(NOT(EXACT(C2,INDEX('VMR MSL40'!C:C,MATCH($A2,'VMR MSL40'!$A:$A,0)))),_xlfn.CONCAT(AK$1,":",C2),"")</f>
        <v/>
      </c>
      <c r="AL2" t="str">
        <f>IF(NOT(EXACT(D2,INDEX('VMR MSL40'!D:D,MATCH($A2,'VMR MSL40'!$A:$A,0)))),_xlfn.CONCAT(AL$1,":",D2),"")</f>
        <v/>
      </c>
      <c r="AM2" t="str">
        <f>IF(NOT(EXACT(E2,INDEX('VMR MSL40'!E:E,MATCH($A2,'VMR MSL40'!$A:$A,0)))),_xlfn.CONCAT(AM$1,":",E2),"")</f>
        <v/>
      </c>
      <c r="AN2" t="str">
        <f>IF(NOT(EXACT(F2,INDEX('VMR MSL40'!F:F,MATCH($A2,'VMR MSL40'!$A:$A,0)))),_xlfn.CONCAT(AN$1,":",F2),"")</f>
        <v/>
      </c>
      <c r="AO2" t="str">
        <f>IF(NOT(EXACT(G2,INDEX('VMR MSL40'!G:G,MATCH($A2,'VMR MSL40'!$A:$A,0)))),_xlfn.CONCAT(AO$1,":",G2),"")</f>
        <v/>
      </c>
      <c r="AP2" t="str">
        <f>IF(NOT(EXACT(H2,INDEX('VMR MSL40'!H:H,MATCH($A2,'VMR MSL40'!$A:$A,0)))),_xlfn.CONCAT(AP$1,":",H2),"")</f>
        <v/>
      </c>
      <c r="AQ2" t="str">
        <f>IF(NOT(EXACT(I2,INDEX('VMR MSL40'!I:I,MATCH($A2,'VMR MSL40'!$A:$A,0)))),_xlfn.CONCAT(AQ$1,":",I2),"")</f>
        <v/>
      </c>
      <c r="AR2" t="str">
        <f>IF(NOT(EXACT(J2,INDEX('VMR MSL40'!J:J,MATCH($A2,'VMR MSL40'!$A:$A,0)))),_xlfn.CONCAT(AR$1,":",J2),"")</f>
        <v/>
      </c>
      <c r="AS2" t="str">
        <f>IF(NOT(EXACT(K2,INDEX('VMR MSL40'!K:K,MATCH($A2,'VMR MSL40'!$A:$A,0)))),_xlfn.CONCAT(AS$1,":",K2),"")</f>
        <v/>
      </c>
      <c r="AT2" t="str">
        <f>IF(NOT(EXACT(L2,INDEX('VMR MSL40'!L:L,MATCH($A2,'VMR MSL40'!$A:$A,0)))),_xlfn.CONCAT(AT$1,":",L2),"")</f>
        <v/>
      </c>
      <c r="AU2" t="str">
        <f>IF(NOT(EXACT(M2,INDEX('VMR MSL40'!M:M,MATCH($A2,'VMR MSL40'!$A:$A,0)))),_xlfn.CONCAT(AU$1,":",M2),"")</f>
        <v/>
      </c>
      <c r="AV2" t="str">
        <f>IF(NOT(EXACT(N2,INDEX('VMR MSL40'!N:N,MATCH($A2,'VMR MSL40'!$A:$A,0)))),_xlfn.CONCAT(AV$1,":",N2),"")</f>
        <v/>
      </c>
      <c r="AW2" t="str">
        <f>IF(NOT(EXACT(O2,INDEX('VMR MSL40'!O:O,MATCH($A2,'VMR MSL40'!$A:$A,0)))),_xlfn.CONCAT(AW$1,":",O2),"")</f>
        <v/>
      </c>
      <c r="AX2" t="str">
        <f>IF(NOT(EXACT(P2,INDEX('VMR MSL40'!P:P,MATCH($A2,'VMR MSL40'!$A:$A,0)))),_xlfn.CONCAT(AX$1,":",P2),"")</f>
        <v/>
      </c>
      <c r="AY2" t="str">
        <f>IF(NOT(EXACT(Q2,INDEX('VMR MSL40'!Q:Q,MATCH($A2,'VMR MSL40'!$A:$A,0)))),_xlfn.CONCAT(AY$1,":",Q2),"")</f>
        <v/>
      </c>
      <c r="AZ2" t="str">
        <f>IF(NOT(EXACT(R2,INDEX('VMR MSL40'!R:R,MATCH($A2,'VMR MSL40'!$A:$A,0)))),_xlfn.CONCAT(AZ$1,":",R2),"")</f>
        <v/>
      </c>
      <c r="BB2" t="str">
        <f>IF(NOT(EXACT(T2,INDEX('VMR MSL40'!T:T,MATCH($A2,'VMR MSL40'!$A:$A,0)))),_xlfn.CONCAT(BB$1,":",T2),"")</f>
        <v/>
      </c>
      <c r="BC2" t="str">
        <f>IF(NOT(EXACT(U2,INDEX('VMR MSL40'!U:U,MATCH($A2,'VMR MSL40'!$A:$A,0)))),_xlfn.CONCAT(BC$1,":",U2),"")</f>
        <v/>
      </c>
      <c r="BD2" t="str">
        <f>IF(NOT(EXACT(V2,INDEX('VMR MSL40'!V:V,MATCH($A2,'VMR MSL40'!$A:$A,0)))),_xlfn.CONCAT(BD$1,":",V2),"")</f>
        <v/>
      </c>
      <c r="BE2" t="str">
        <f>IF(NOT(EXACT(W2,INDEX('VMR MSL40'!W:W,MATCH($A2,'VMR MSL40'!$A:$A,0)))),_xlfn.CONCAT(BE$1,":",W2),"")</f>
        <v/>
      </c>
      <c r="BF2" t="str">
        <f>IF(NOT(EXACT(X2,INDEX('VMR MSL40'!X:X,MATCH($A2,'VMR MSL40'!$A:$A,0)))),_xlfn.CONCAT(BF$1,":",X2),"")</f>
        <v/>
      </c>
      <c r="BG2" t="str">
        <f>IF(NOT(EXACT(Y2,INDEX('VMR MSL40'!Y:Y,MATCH($A2,'VMR MSL40'!$A:$A,0)))),_xlfn.CONCAT(BG$1,":",Y2),"")</f>
        <v/>
      </c>
      <c r="BH2" t="str">
        <f>IF(NOT(EXACT(Z2,INDEX('VMR MSL40'!Z:Z,MATCH($A2,'VMR MSL40'!$A:$A,0)))),_xlfn.CONCAT(BH$1,":",Z2),"")</f>
        <v/>
      </c>
      <c r="BI2" t="str">
        <f>IF(NOT(EXACT(AA2,INDEX('VMR MSL40'!AA:AA,MATCH($A2,'VMR MSL40'!$A:$A,0)))),_xlfn.CONCAT(BI$1,":",AA2),"")</f>
        <v/>
      </c>
      <c r="BK2" t="str">
        <f>IF(NOT(EXACT(AC2,INDEX('VMR MSL40'!AC:AC,MATCH($A2,'VMR MSL40'!$A:$A,0)))),_xlfn.CONCAT(BK$1,":",AC2),"")</f>
        <v/>
      </c>
    </row>
  </sheetData>
  <conditionalFormatting sqref="X1">
    <cfRule type="expression" dxfId="7" priority="8" stopIfTrue="1">
      <formula>SUBSTITUTE(X1," ","")&lt;&gt;SUBSTITUTE(INDEX($X:$X,MATCH(A1,$A:$A,0))," ","")</formula>
    </cfRule>
  </conditionalFormatting>
  <conditionalFormatting sqref="AB1:AB1048576">
    <cfRule type="expression" dxfId="6" priority="1">
      <formula>AND(LEN($A1)=0,LEN($R1)&gt;0)</formula>
    </cfRule>
    <cfRule type="expression" dxfId="5" priority="2">
      <formula>NOT(EXACT(AB1,INDEX(AB:AB,MATCH($A1,$A:$A,0))))</formula>
    </cfRule>
  </conditionalFormatting>
  <conditionalFormatting sqref="AH1:AI1">
    <cfRule type="cellIs" dxfId="4" priority="4" operator="greaterThan">
      <formula>0</formula>
    </cfRule>
  </conditionalFormatting>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66EB3-AF62-2644-9DFF-7EDEC1ECFA45}">
  <dimension ref="A1:D24"/>
  <sheetViews>
    <sheetView workbookViewId="0">
      <selection activeCell="B2" sqref="B2"/>
    </sheetView>
  </sheetViews>
  <sheetFormatPr baseColWidth="10" defaultColWidth="10.6640625" defaultRowHeight="16" x14ac:dyDescent="0.2"/>
  <cols>
    <col min="1" max="1" width="10.83203125" customWidth="1"/>
    <col min="2" max="2" width="22.5" customWidth="1"/>
    <col min="3" max="3" width="23.83203125" customWidth="1"/>
    <col min="4" max="4" width="22.83203125" customWidth="1"/>
  </cols>
  <sheetData>
    <row r="1" spans="1:4" ht="68" x14ac:dyDescent="0.2">
      <c r="A1" s="14" t="s">
        <v>16</v>
      </c>
      <c r="B1" s="16" t="s">
        <v>21</v>
      </c>
      <c r="C1" s="14" t="s">
        <v>139</v>
      </c>
      <c r="D1" s="14" t="s">
        <v>22</v>
      </c>
    </row>
    <row r="2" spans="1:4" x14ac:dyDescent="0.2">
      <c r="A2" s="18" t="s">
        <v>28</v>
      </c>
      <c r="B2" s="18" t="s">
        <v>32</v>
      </c>
      <c r="C2" s="18" t="s">
        <v>30</v>
      </c>
      <c r="D2" s="18" t="s">
        <v>81</v>
      </c>
    </row>
    <row r="3" spans="1:4" x14ac:dyDescent="0.2">
      <c r="A3" s="18" t="s">
        <v>37</v>
      </c>
      <c r="B3" s="18" t="s">
        <v>29</v>
      </c>
      <c r="C3" t="s">
        <v>70</v>
      </c>
      <c r="D3" s="18" t="s">
        <v>31</v>
      </c>
    </row>
    <row r="4" spans="1:4" x14ac:dyDescent="0.2">
      <c r="B4" s="18" t="s">
        <v>33</v>
      </c>
      <c r="C4" s="18" t="s">
        <v>53</v>
      </c>
      <c r="D4" s="18" t="s">
        <v>35</v>
      </c>
    </row>
    <row r="5" spans="1:4" x14ac:dyDescent="0.2">
      <c r="B5" s="18" t="s">
        <v>36</v>
      </c>
      <c r="C5" s="18" t="s">
        <v>39</v>
      </c>
      <c r="D5" t="s">
        <v>84</v>
      </c>
    </row>
    <row r="6" spans="1:4" x14ac:dyDescent="0.2">
      <c r="B6" t="s">
        <v>179</v>
      </c>
      <c r="C6" t="s">
        <v>43</v>
      </c>
      <c r="D6" t="s">
        <v>85</v>
      </c>
    </row>
    <row r="7" spans="1:4" x14ac:dyDescent="0.2">
      <c r="C7" s="18" t="s">
        <v>38</v>
      </c>
      <c r="D7" s="18" t="s">
        <v>66</v>
      </c>
    </row>
    <row r="8" spans="1:4" x14ac:dyDescent="0.2">
      <c r="C8" s="18" t="s">
        <v>41</v>
      </c>
      <c r="D8" s="18" t="s">
        <v>49</v>
      </c>
    </row>
    <row r="9" spans="1:4" x14ac:dyDescent="0.2">
      <c r="C9" t="s">
        <v>61</v>
      </c>
      <c r="D9" s="18" t="s">
        <v>166</v>
      </c>
    </row>
    <row r="10" spans="1:4" x14ac:dyDescent="0.2">
      <c r="C10" t="s">
        <v>71</v>
      </c>
      <c r="D10" s="18" t="s">
        <v>40</v>
      </c>
    </row>
    <row r="11" spans="1:4" x14ac:dyDescent="0.2">
      <c r="C11" s="18" t="s">
        <v>63</v>
      </c>
      <c r="D11" s="18" t="s">
        <v>56</v>
      </c>
    </row>
    <row r="12" spans="1:4" x14ac:dyDescent="0.2">
      <c r="C12" s="18" t="s">
        <v>51</v>
      </c>
      <c r="D12" s="18" t="s">
        <v>48</v>
      </c>
    </row>
    <row r="13" spans="1:4" x14ac:dyDescent="0.2">
      <c r="C13" s="18" t="s">
        <v>62</v>
      </c>
      <c r="D13" s="18" t="s">
        <v>42</v>
      </c>
    </row>
    <row r="14" spans="1:4" x14ac:dyDescent="0.2">
      <c r="C14" s="18" t="s">
        <v>116</v>
      </c>
      <c r="D14" s="18" t="s">
        <v>44</v>
      </c>
    </row>
    <row r="15" spans="1:4" x14ac:dyDescent="0.2">
      <c r="D15" s="18" t="s">
        <v>64</v>
      </c>
    </row>
    <row r="16" spans="1:4" x14ac:dyDescent="0.2">
      <c r="D16" s="18" t="s">
        <v>45</v>
      </c>
    </row>
    <row r="17" spans="4:4" x14ac:dyDescent="0.2">
      <c r="D17" s="18" t="s">
        <v>54</v>
      </c>
    </row>
    <row r="18" spans="4:4" x14ac:dyDescent="0.2">
      <c r="D18" s="18" t="s">
        <v>57</v>
      </c>
    </row>
    <row r="19" spans="4:4" x14ac:dyDescent="0.2">
      <c r="D19" s="18" t="s">
        <v>46</v>
      </c>
    </row>
    <row r="20" spans="4:4" x14ac:dyDescent="0.2">
      <c r="D20" s="18" t="s">
        <v>50</v>
      </c>
    </row>
    <row r="21" spans="4:4" x14ac:dyDescent="0.2">
      <c r="D21" s="18" t="s">
        <v>65</v>
      </c>
    </row>
    <row r="22" spans="4:4" x14ac:dyDescent="0.2">
      <c r="D22" s="18" t="s">
        <v>83</v>
      </c>
    </row>
    <row r="23" spans="4:4" x14ac:dyDescent="0.2">
      <c r="D23" s="18" t="s">
        <v>34</v>
      </c>
    </row>
    <row r="24" spans="4:4" x14ac:dyDescent="0.2">
      <c r="D24" s="18" t="s">
        <v>82</v>
      </c>
    </row>
  </sheetData>
  <conditionalFormatting sqref="D9">
    <cfRule type="expression" dxfId="1" priority="1">
      <formula>AND(NOT(ISBLANK(D9)),ISERROR(MATCH(D9,D:D,0)))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41" id="{ADFCDF1B-7589-A94C-99AE-D731179FBAFB}">
            <xm:f>SUBSTITUTE(A1," ","")&lt;&gt;SUBSTITUTE(INDEX(Original!A:A,MATCH($A1,Original!$A:$A,0))," ","")</xm:f>
            <x14:dxf>
              <font>
                <color rgb="FF006100"/>
              </font>
              <fill>
                <patternFill>
                  <bgColor rgb="FFC6EFCE"/>
                </patternFill>
              </fill>
            </x14:dxf>
          </x14:cfRule>
          <xm:sqref>B1:D2 A1:A3 B3:C5 C6:C14 D10:D14 A16393:C1048576</xm:sqref>
        </x14:conditionalFormatting>
        <x14:conditionalFormatting xmlns:xm="http://schemas.microsoft.com/office/excel/2006/main">
          <x14:cfRule type="expression" priority="2" id="{885C4D62-57C8-C840-A9DC-442E1963419C}">
            <xm:f>SUBSTITUTE(D3," ","")&lt;&gt;SUBSTITUTE(INDEX(Original!D:D,MATCH($A4,Original!$A:$A,0))," ","")</xm:f>
            <x14:dxf>
              <font>
                <color rgb="FF006100"/>
              </font>
              <fill>
                <patternFill>
                  <bgColor rgb="FFC6EFCE"/>
                </patternFill>
              </fill>
            </x14:dxf>
          </x14:cfRule>
          <xm:sqref>D3:D9 D15:D24</xm:sqref>
        </x14:conditionalFormatting>
        <x14:conditionalFormatting xmlns:xm="http://schemas.microsoft.com/office/excel/2006/main">
          <x14:cfRule type="expression" priority="5" id="{487EDB0C-224C-9741-ADEE-A6B9662C432E}">
            <xm:f>SUBSTITUTE(D16391," ","")&lt;&gt;SUBSTITUTE(INDEX(Original!D:D,MATCH($A16393,Original!$A:$A,0))," ","")</xm:f>
            <x14:dxf>
              <font>
                <color rgb="FF006100"/>
              </font>
              <fill>
                <patternFill>
                  <bgColor rgb="FFC6EFCE"/>
                </patternFill>
              </fill>
            </x14:dxf>
          </x14:cfRule>
          <xm:sqref>D16391:D1048576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Version</vt:lpstr>
      <vt:lpstr>VMR MSL40</vt:lpstr>
      <vt:lpstr>Column definitions</vt:lpstr>
      <vt:lpstr>Column Values</vt:lpstr>
      <vt:lpstr>README.editor</vt:lpstr>
      <vt:lpstr>CHANGELOG.editor</vt:lpstr>
      <vt:lpstr>Original</vt:lpstr>
      <vt:lpstr>Original Column 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Donald Smith</dc:creator>
  <cp:lastModifiedBy>Hendrickson, Curtis (Campus)</cp:lastModifiedBy>
  <dcterms:created xsi:type="dcterms:W3CDTF">2023-09-13T21:19:40Z</dcterms:created>
  <dcterms:modified xsi:type="dcterms:W3CDTF">2026-02-27T20:43:39Z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e7542bc-63e5-412b-b0a0-d9586028a7d0_Enabled">
    <vt:lpwstr>true</vt:lpwstr>
  </property>
  <property fmtid="{D5CDD505-2E9C-101B-9397-08002B2CF9AE}" pid="3" name="MSIP_Label_ae7542bc-63e5-412b-b0a0-d9586028a7d0_SetDate">
    <vt:lpwstr>2025-09-29T21:56:42Z</vt:lpwstr>
  </property>
  <property fmtid="{D5CDD505-2E9C-101B-9397-08002B2CF9AE}" pid="4" name="MSIP_Label_ae7542bc-63e5-412b-b0a0-d9586028a7d0_Method">
    <vt:lpwstr>Standard</vt:lpwstr>
  </property>
  <property fmtid="{D5CDD505-2E9C-101B-9397-08002B2CF9AE}" pid="5" name="MSIP_Label_ae7542bc-63e5-412b-b0a0-d9586028a7d0_Name">
    <vt:lpwstr>Sensitive</vt:lpwstr>
  </property>
  <property fmtid="{D5CDD505-2E9C-101B-9397-08002B2CF9AE}" pid="6" name="MSIP_Label_ae7542bc-63e5-412b-b0a0-d9586028a7d0_SiteId">
    <vt:lpwstr>d8999fe4-76af-40b3-b435-1d8977abc08c</vt:lpwstr>
  </property>
  <property fmtid="{D5CDD505-2E9C-101B-9397-08002B2CF9AE}" pid="7" name="MSIP_Label_ae7542bc-63e5-412b-b0a0-d9586028a7d0_ActionId">
    <vt:lpwstr>3b5c7790-18c7-4a6c-b6de-cb1573266195</vt:lpwstr>
  </property>
  <property fmtid="{D5CDD505-2E9C-101B-9397-08002B2CF9AE}" pid="8" name="MSIP_Label_ae7542bc-63e5-412b-b0a0-d9586028a7d0_ContentBits">
    <vt:lpwstr>0</vt:lpwstr>
  </property>
  <property fmtid="{D5CDD505-2E9C-101B-9397-08002B2CF9AE}" pid="9" name="MSIP_Label_ae7542bc-63e5-412b-b0a0-d9586028a7d0_Tag">
    <vt:lpwstr>50, 3, 0, 1</vt:lpwstr>
  </property>
</Properties>
</file>